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450" yWindow="520" windowWidth="24640" windowHeight="12240"/>
  </bookViews>
  <sheets>
    <sheet name="질문_모범답안" sheetId="1" r:id="rId1"/>
    <sheet name="데이터셋_요약" sheetId="2" r:id="rId2"/>
    <sheet name="평가_기준" sheetId="3" r:id="rId3"/>
  </sheets>
  <calcPr calcId="145621"/>
</workbook>
</file>

<file path=xl/calcChain.xml><?xml version="1.0" encoding="utf-8"?>
<calcChain xmlns="http://schemas.openxmlformats.org/spreadsheetml/2006/main">
  <c r="B10" i="2" l="1"/>
  <c r="E9" i="2"/>
  <c r="B9" i="2"/>
  <c r="E8" i="2"/>
  <c r="B8" i="2"/>
  <c r="E7" i="2"/>
  <c r="B7" i="2"/>
  <c r="E6" i="2"/>
  <c r="B6" i="2"/>
  <c r="E5" i="2"/>
  <c r="B5" i="2"/>
</calcChain>
</file>

<file path=xl/sharedStrings.xml><?xml version="1.0" encoding="utf-8"?>
<sst xmlns="http://schemas.openxmlformats.org/spreadsheetml/2006/main" count="1271" uniqueCount="593">
  <si>
    <t>ID</t>
  </si>
  <si>
    <t>차량</t>
  </si>
  <si>
    <t>차종 코드</t>
  </si>
  <si>
    <t>동력원</t>
  </si>
  <si>
    <t>답변 가능 여부</t>
  </si>
  <si>
    <t>난이도</t>
  </si>
  <si>
    <t>질문 유형</t>
  </si>
  <si>
    <t>질문</t>
  </si>
  <si>
    <t>모범답안</t>
  </si>
  <si>
    <t>핵심 채점어</t>
  </si>
  <si>
    <t>근거 PDF</t>
  </si>
  <si>
    <t>근거 페이지(PDF)</t>
  </si>
  <si>
    <t>근거 섹션</t>
  </si>
  <si>
    <t>평가 초점</t>
  </si>
  <si>
    <t>아이오닉 6</t>
  </si>
  <si>
    <t>CE1</t>
  </si>
  <si>
    <t>전기</t>
  </si>
  <si>
    <t>문서 내 답변</t>
  </si>
  <si>
    <t>쉬움</t>
  </si>
  <si>
    <t>개념</t>
  </si>
  <si>
    <t>아이오닉 6에서 브레이크를 밟거나 속도를 줄이면 배터리가 어떻게 다시 충전돼?</t>
  </si>
  <si>
    <t>차량이 감속하거나 제동할 때 전기 모터를 발전기로 전환하여 운동 에너지를 전기 에너지로 바꾸고, 그 전기로 고전압 배터리를 충전합니다.</t>
  </si>
  <si>
    <t>감속·제동, 모터를 발전기로 전환, 운동 에너지→전기 에너지, 고전압 배터리 충전</t>
  </si>
  <si>
    <t>전기차 이해하기</t>
  </si>
  <si>
    <t>직접 사실</t>
  </si>
  <si>
    <t>아이오닉 6에는 배터리가 두 종류라는데 각각 어디에 쓰여?</t>
  </si>
  <si>
    <t>고전압 배터리는 구동 모터와 공조기를 작동하는 데 사용되고, 12 V 배터리는 조명·와이퍼·오디오 등 차량 전장품을 작동하는 데 사용됩니다.</t>
  </si>
  <si>
    <t>고전압 배터리=모터·공조기, 12 V 배터리=조명·와이퍼·오디오</t>
  </si>
  <si>
    <t>전기차에 사용되는 배터리</t>
  </si>
  <si>
    <t>유지관리</t>
  </si>
  <si>
    <t>아이오닉 6를 당분간 안 쓸 건데 배터리는 어떻게 관리해야 해?</t>
  </si>
  <si>
    <t>약 3개월에 한 번씩 충전해야 하며, 보관 전 충전량이 부족하면 먼저 충전해야 합니다.</t>
  </si>
  <si>
    <t>약 3개월에 한 번, 보관 전 부족하면 충전</t>
  </si>
  <si>
    <t>배터리 사용 시 주의 사항</t>
  </si>
  <si>
    <t>수치 검색</t>
  </si>
  <si>
    <t>아이오닉 6 배터리 성능을 오래 유지하려면 평소 충전을 어떻게 하는 게 좋아?</t>
  </si>
  <si>
    <t>완속 충전을 이용해 배터리 충전량이 20% 이하일 때 100%까지 충전하는 방법을 월 1회 이상 권장합니다.</t>
  </si>
  <si>
    <t>완속 충전, 20% 이하→100%, 월 1회 이상</t>
  </si>
  <si>
    <t>수치</t>
  </si>
  <si>
    <t>아이오닉 6 기본형과 항속형을 350 kW 급속 충전기로 10%에서 80%까지 충전하면 각각 얼마나 걸려?</t>
  </si>
  <si>
    <t>기본형과 항속형 모두 약 18분입니다.</t>
  </si>
  <si>
    <t>350 kW, 10~80%, 기본형 18분, 항속형 18분</t>
  </si>
  <si>
    <t>충전 방식과 소요 시간</t>
  </si>
  <si>
    <t>표 읽기</t>
  </si>
  <si>
    <t>표 해석</t>
  </si>
  <si>
    <t>아이오닉 6 충전 표시등만 보고 배터리가 얼마나 찼는지 어떻게 알아?</t>
  </si>
  <si>
    <t>4단계로 구분합니다. 0~24%, 25~49%, 50~74%, 75~100%입니다.</t>
  </si>
  <si>
    <t>4단계, 0~24, 25~49, 50~74, 75~100</t>
  </si>
  <si>
    <t>충전 상태 확인하기</t>
  </si>
  <si>
    <t>보통</t>
  </si>
  <si>
    <t>절차</t>
  </si>
  <si>
    <t>아이오닉 6 충전을 시작하기 전에 차를 어떤 상태로 둬야 해?</t>
  </si>
  <si>
    <t>브레이크 페달을 밟은 상태에서 주차 브레이크를 체결하고, 변속 위치를 P로 둔 뒤 시동을 꺼야 합니다.</t>
  </si>
  <si>
    <t>브레이크 페달, 주차 브레이크, P, 시동 OFF</t>
  </si>
  <si>
    <t>충전과 관련된 기본 안전정보</t>
  </si>
  <si>
    <t>절차 완전성</t>
  </si>
  <si>
    <t>상황 판단</t>
  </si>
  <si>
    <t>아이오닉 6 충전 중에 타는 냄새나 연기가 나면 어떻게 해야 해?</t>
  </si>
  <si>
    <t>즉시 충전을 중지해야 합니다.</t>
  </si>
  <si>
    <t>즉시 충전 중지</t>
  </si>
  <si>
    <t>안전 대응</t>
  </si>
  <si>
    <t>조건 비교</t>
  </si>
  <si>
    <t>아이오닉 6 충전 케이블이 빠지지 않게 하는 잠금 설정은 각각 어떻게 달라?</t>
  </si>
  <si>
    <t>상시 잠금은 커넥터가 정상 연결되면 항상 잠기고, 충전 중 잠금은 실제 충전 중에만 잠깁니다. 사용 안 함은 충전 상태와 관계없이 잠금 해제 상태를 유지합니다.</t>
  </si>
  <si>
    <t>상시=연결 즉시 항상, 충전 중=충전할 때만, 사용 안 함=항상 해제</t>
  </si>
  <si>
    <t>충전 커넥터 잠금 모드 설정하기</t>
  </si>
  <si>
    <t>조건 구분</t>
  </si>
  <si>
    <t>비상 절차</t>
  </si>
  <si>
    <t>아이오닉 6 충전 커넥터가 잠겨서 안 빠지고 해제 버튼도 안 먹으면 어떻게 해야 해?</t>
  </si>
  <si>
    <t>먼저 스마트 키의 잠금·잠금 해제 버튼을 각각 3~4회 반복해 누른 뒤 커넥터 잠금 해제 버튼을 누릅니다. 그래도 안 되면 화물칸 우측의 비상 해제 케이블 커버를 열고 케이블을 가볍게 당겨 잠금을 해제합니다. 이후에도 분리되지 않으면 서비스센터에서 점검받아야 하며 강제로 분리하면 안 됩니다.</t>
  </si>
  <si>
    <t>스마트 키 잠금·해제 3~4회, 커넥터 버튼, 화물칸 우측 비상 케이블, 강제 분리 금지</t>
  </si>
  <si>
    <t>비상시 충전 커넥터 분리하기</t>
  </si>
  <si>
    <t>다단계 절차</t>
  </si>
  <si>
    <t>영향 설명</t>
  </si>
  <si>
    <t>아이오닉 6에서 V2L 기능을 사용하면 배터리에 영향이 있어?</t>
  </si>
  <si>
    <t>고전압 배터리 에너지를 사용하므로 주행 가능 거리가 줄어듭니다. 또한 빈번하게 사용하면 고전압 배터리 수명이 짧아질 수 있습니다.</t>
  </si>
  <si>
    <t>주행 가능 거리 감소, 빈번 사용 시 배터리 수명 저하</t>
  </si>
  <si>
    <t>원인·결과</t>
  </si>
  <si>
    <t>안전</t>
  </si>
  <si>
    <t>아이오닉 6 시동을 껐는데도 모터룸 쪽에서 팬이 돌아. 가까이 가도 괜찮아?</t>
  </si>
  <si>
    <t>시동이 꺼진 상태에서도 배터리 온도 제어를 위해 냉각팬이 자동으로 작동할 수 있기 때문입니다.</t>
  </si>
  <si>
    <t>시동 OFF에서도 자동 작동, 배터리 온도 제어</t>
  </si>
  <si>
    <t>냉각팬 작동 관련 경고</t>
  </si>
  <si>
    <t>안전 근거</t>
  </si>
  <si>
    <t>어려움</t>
  </si>
  <si>
    <t>수치 비교</t>
  </si>
  <si>
    <t>아이오닉 6를 50 kW 급속 충전기나 가정용 휴대용 충전기로 충전하면 기본형과 항속형은 각각 얼마나 걸려?</t>
  </si>
  <si>
    <t>50 kW급 급속 충전은 10~80% 기준으로 기본형 약 60분, 항속형 약 80분입니다. 220 V/12 A 휴대용 충전은 10~100% 기준으로 기본형 약 27시간 20분, 항속형 약 36시간 20분입니다.</t>
  </si>
  <si>
    <t>50 kW: 60분/80분, 휴대용: 27시간20분/36시간20분, 충전 범위 구분</t>
  </si>
  <si>
    <t>복합 표 해석</t>
  </si>
  <si>
    <t>기능 전환</t>
  </si>
  <si>
    <t>아이오닉 6에서 스마트 회생제동을 쓰다가 아이 페달로 바꾸려면 어떻게 해? 둘을 같이 쓸 수 있어?</t>
  </si>
  <si>
    <t>동시에 사용할 수 없습니다. 아이 페달을 사용하려면 회생 제동 증가 레버를 1초 이상 당기고, 스마트 회생 제동을 다시 사용하려면 회생 제동 감소 레버를 1초 이상 당깁니다.</t>
  </si>
  <si>
    <t>동시 사용 불가, 증가 레버 1초=아이 페달, 감소 레버 1초=스마트 회생</t>
  </si>
  <si>
    <t>스마트 회생 제동 기능 사용하기</t>
  </si>
  <si>
    <t>조건·조작 통합</t>
  </si>
  <si>
    <t>작동 조건</t>
  </si>
  <si>
    <t>아이오닉 6에서 스마트 회생제동은 언제 켤 수 있고, 켜졌는지는 어디서 확인해?</t>
  </si>
  <si>
    <t>주행 중 변속 위치가 D인 상태에서 회생 제동 감소 레버를 1초 이상 당기면 켜집니다. 클러스터의 회생 제동 단계 표시가 'AUTO'로 바뀌면 작동 상태를 확인할 수 있습니다.</t>
  </si>
  <si>
    <t>주행 중 D, 감소 레버 1초, AUTO 표시</t>
  </si>
  <si>
    <t>스마트 회생 제동 켜기</t>
  </si>
  <si>
    <t>조건·표시</t>
  </si>
  <si>
    <t>안전 종합</t>
  </si>
  <si>
    <t>아이오닉 6 모터룸을 청소하거나 고전압 차단 스위치를 만질 일이 생기면 뭘 조심해야 해?</t>
  </si>
  <si>
    <t>모터룸 내부를 고압 세차기나 물로 청소하면 안 됩니다. 고전압 누전으로 감전되거나 전기 계통이 손상될 수 있습니다. 또한 고전압 차단 스위치를 임의로 만지거나 분리·절단하지 말고, 점검과 정비는 하이테크센터나 블루핸즈에 맡겨야 합니다.</t>
  </si>
  <si>
    <t>고압 세차·물 사용 금지, 감전·전장 손상, 차단 스위치 임의 조작 금지, 전문점 점검</t>
  </si>
  <si>
    <t>전기차 관리 시 기타 주의 사항·고전압 차단 스위치</t>
  </si>
  <si>
    <t>다중 근거</t>
  </si>
  <si>
    <t>문서 외 질문</t>
  </si>
  <si>
    <t>아이오닉 6 배터리 셀을 만든 회사와 셀 모델명을 알고 싶어.</t>
  </si>
  <si>
    <t>제공된 취급설명서에서는 배터리 셀 제조사와 정확한 셀 모델명을 확인할 수 없습니다. 문서 밖 정보를 추측하면 안 됩니다.</t>
  </si>
  <si>
    <t>문서에서 확인 불가, 추측 금지</t>
  </si>
  <si>
    <t>환각 억제</t>
  </si>
  <si>
    <t>영하 10도에서 히터를 23도로 켜고 아이오닉 6를 타면 정확히 몇 km 갈 수 있어?</t>
  </si>
  <si>
    <t>제공된 취급설명서만으로는 특정 온도와 공조 설정에서의 실제 주행 가능 거리를 정확히 계산할 수 없습니다.</t>
  </si>
  <si>
    <t>정확한 수치 확인 불가, 조건에 따라 달라짐</t>
  </si>
  <si>
    <t>2029년에 아이오닉 6를 팔면 중고차 가격이 얼마나 될까?</t>
  </si>
  <si>
    <t>제공된 취급설명서에는 미래 중고차 가격 정보가 없습니다. 시장 상황을 추측해 답하면 안 됩니다.</t>
  </si>
  <si>
    <t>문서에 미래 시세 없음, 추측 금지</t>
  </si>
  <si>
    <t>오늘 서울 급속 충전소에서 아이오닉 6를 10%에서 80%까지 충전하면 요금이 정확히 얼마야?</t>
  </si>
  <si>
    <t>제공된 취급설명서에는 실시간 충전소 요금 정보가 없습니다. 충전 사업자와 시점에 따라 달라지므로 문서만으로 답할 수 없습니다.</t>
  </si>
  <si>
    <t>실시간 요금 정보 없음, 사업자·시점 의존</t>
  </si>
  <si>
    <t>아반떼</t>
  </si>
  <si>
    <t>CN7</t>
  </si>
  <si>
    <t>가솔린/LPI</t>
  </si>
  <si>
    <t>안전 기호</t>
  </si>
  <si>
    <t>아반떼 설명서에 나오는 '경고'와 '주의'는 어떻게 다른 거야?</t>
  </si>
  <si>
    <t>'경고'는 사람이 다치거나 사망할 우려가 있는 경우를 뜻하고, '주의'는 차량이 고장 나거나 손상될 우려가 있는 경우를 뜻합니다.</t>
  </si>
  <si>
    <t>경고=부상·사망, 주의=차량 고장·손상</t>
  </si>
  <si>
    <t>안전 및 차량 손상 경고</t>
  </si>
  <si>
    <t>상황 대응</t>
  </si>
  <si>
    <t>아반떼에 '스마트 키 배터리 전압이 낮습니다'가 떴어. 뭘 해야 해?</t>
  </si>
  <si>
    <t>스마트 키의 배터리를 교체해야 합니다.</t>
  </si>
  <si>
    <t>스마트 키 배터리 교체</t>
  </si>
  <si>
    <t>클러스터 경고문</t>
  </si>
  <si>
    <t>직접 대응</t>
  </si>
  <si>
    <t>비상 기능</t>
  </si>
  <si>
    <t>아반떼 스마트 키가 안 될 때 안에 들어 있는 비상키는 어디에 쓰는 거야?</t>
  </si>
  <si>
    <t>스마트 키 배터리 방전 등으로 키가 작동하지 않을 때 도어를 수동으로 잠그거나 잠금 해제하는 데 사용합니다.</t>
  </si>
  <si>
    <t>스마트 키 고장·방전, 도어 수동 잠금·해제</t>
  </si>
  <si>
    <t>비상 키 사용 방법</t>
  </si>
  <si>
    <t>안전 장치</t>
  </si>
  <si>
    <t>아반떼 뒷좌석에서 아이가 문을 못 열게 하려면 어떻게 하고, 잠근 뒤에는 문을 어떻게 열어?</t>
  </si>
  <si>
    <t>주행 중 어린이가 실내에서 뒷도어를 여는 것을 막는 장치입니다. 잠금 상태에서는 도어가 잠금 해제되어 있어도 실내 손잡이로 열 수 없고, 차량 밖 손잡이로 열어야 합니다.</t>
  </si>
  <si>
    <t>어린이 실내 개방 방지, 실내 손잡이 불가, 외부 손잡이</t>
  </si>
  <si>
    <t>어린이 보호용 잠금 장치</t>
  </si>
  <si>
    <t>목적·결과</t>
  </si>
  <si>
    <t>경고등</t>
  </si>
  <si>
    <t>아반떼 타이어 경고등이 한동안 깜빡이다가 계속 켜져 있어. 무슨 문제야?</t>
  </si>
  <si>
    <t>타이어 공기압 감지 시스템에 이상이 있음을 의미하므로 하이테크센터나 블루핸즈에서 점검받아야 합니다.</t>
  </si>
  <si>
    <t>약 1분 깜빡임 후 점등=TPMS 이상, 점검</t>
  </si>
  <si>
    <t>저압 타이어 경고등/TPMS 경고등</t>
  </si>
  <si>
    <t>상태 판별</t>
  </si>
  <si>
    <t>경고문</t>
  </si>
  <si>
    <t>아반떼 시동을 껐는데 선루프를 열어 둔 채 내리려고 하면 차가 알려줘?</t>
  </si>
  <si>
    <t>선루프가 열려 있다는 위치 정보를 표시하고 선루프를 닫으라고 안내합니다.</t>
  </si>
  <si>
    <t>선루프 열림 표시, 닫으라는 안내</t>
  </si>
  <si>
    <t>선루프 열림 경고문</t>
  </si>
  <si>
    <t>기능 설명</t>
  </si>
  <si>
    <t>아반떼 Auto Hold는 언제 브레이크를 대신 잡아주는 기능이야?</t>
  </si>
  <si>
    <t>D·N 위치 또는 수동 변속 모드에서 브레이크를 밟아 정차한 뒤 발을 떼어도 차량의 정지 상태를 유지합니다. D 또는 수동 변속 모드에서 가속 페달을 밟으면 자동으로 해제됩니다.</t>
  </si>
  <si>
    <t>D·N·수동, 정차 유지, 가속 시 자동 해제</t>
  </si>
  <si>
    <t>자동 정차 기능(Auto Hold)</t>
  </si>
  <si>
    <t>기능 이해</t>
  </si>
  <si>
    <t>작동 절차</t>
  </si>
  <si>
    <t>아반떼에서 Auto Hold를 켜고 멈추면 표시등이 어떻게 바뀌어?</t>
  </si>
  <si>
    <t>버튼을 눌러 작동 대기 상태가 되면 흰색 AUTO HOLD 표시등이 켜지고, 주행 중 브레이크로 정차해 기능이 실제 작동하면 녹색으로 바뀝니다.</t>
  </si>
  <si>
    <t>대기=흰색, 작동=녹색</t>
  </si>
  <si>
    <t>자동 정차 기능 설정</t>
  </si>
  <si>
    <t>상태 표시</t>
  </si>
  <si>
    <t>조건</t>
  </si>
  <si>
    <t>아반떼 Auto Hold가 켜져 있는데도 작동하지 않는 경우가 있어?</t>
  </si>
  <si>
    <t>엔진 후드가 열려 있거나, 변속 위치가 P이거나, 전자식 파킹 브레이크가 작동 중이거나, 30분 이상 정차했거나, 기어가 R인 경우 작동하지 않습니다.</t>
  </si>
  <si>
    <t>후드 열림, P, EPB 작동, 30분 이상, R</t>
  </si>
  <si>
    <t>조건 나열</t>
  </si>
  <si>
    <t>운전자 보조</t>
  </si>
  <si>
    <t>아반떼가 고속도로 주행 보조로 앞차를 따라 멈췄어. 앞차가 금방 출발할 때와 30초 넘게 멈춘 뒤 출발할 때 내 차 반응이 달라?</t>
  </si>
  <si>
    <t>정차 후 약 30초 이내에 앞차가 출발하면 차량이 자동 출발합니다. 약 30초가 지나면 가속 페달이나 +·- 또는 재개 스위치를 조작해야 다시 출발합니다.</t>
  </si>
  <si>
    <t>30초 이내 자동, 이후 페달·스위치 조작</t>
  </si>
  <si>
    <t>고속도로 주행 보조 작동</t>
  </si>
  <si>
    <t>시간 조건</t>
  </si>
  <si>
    <t>아반떼 차로 유지 보조를 켠 채 핸들을 계속 놓고 있으면 어떻게 돼?</t>
  </si>
  <si>
    <t>1단계 경고문이 표시되고, 2단계에서는 빨간색 스티어링 휠 경고문과 경고음이 나옵니다. 계속 잡지 않으면 차로 유지 보조가 자동으로 꺼집니다.</t>
  </si>
  <si>
    <t>1단계 경고문, 2단계 빨간 표시+경고음, 계속 미잡음 시 꺼짐</t>
  </si>
  <si>
    <t>차로 유지 보조 핸즈오프 경고</t>
  </si>
  <si>
    <t>단계 이해</t>
  </si>
  <si>
    <t>설정</t>
  </si>
  <si>
    <t>아반떼 전방 충돌 경고가 너무 빠르거나 늦게 느껴져. 경고 시점을 어떻게 조절하고 '느리게'는 언제 쓰는 거야?</t>
  </si>
  <si>
    <t>'보통'과 '느리게'로 설정할 수 있습니다. '느리게'는 낮은 속도로 주행하거나 주변 차량이 적은 경우에만 사용하도록 안내합니다.</t>
  </si>
  <si>
    <t>보통·느리게, 저속·주변 차량 적을 때 느리게</t>
  </si>
  <si>
    <t>전방 안전 경고 시점</t>
  </si>
  <si>
    <t>설정 조건</t>
  </si>
  <si>
    <t>안전 한계</t>
  </si>
  <si>
    <t>아반떼 스마트 크루즈 컨트롤을 켜면 운전자가 손을 놓고 있어도 돼?</t>
  </si>
  <si>
    <t>스마트 크루즈 컨트롤은 편의 기능일 뿐 예기치 못한 상황이나 복잡한 교통 상황을 모두 인지하지 못합니다. 오르막·내리막에서 속도가 달라질 수 있고, 끼어드는 차량이나 사라지는 앞차에 따라 예상치 못한 가속이 생길 수 있으므로 운전자는 항상 도로를 주시하고 필요하면 브레이크로 직접 속도를 조절해야 합니다.</t>
  </si>
  <si>
    <t>편의 기능, 복잡 상황 인지 한계, 경사·끼어들기·앞차 사라짐, 운전자 개입</t>
  </si>
  <si>
    <t>스마트 크루즈 컨트롤 안전 주의 사항</t>
  </si>
  <si>
    <t>한계 종합</t>
  </si>
  <si>
    <t>정비 절차</t>
  </si>
  <si>
    <t>아반떼 엔진오일이 제대로 들어 있는지 직접 확인하려면 어떻게 해?</t>
  </si>
  <si>
    <t>차량을 평지에 주차해 엔진을 정상 온도까지 예열한 뒤 시동을 끄고 후드를 엽니다. 주입구 캡과 레벨 게이지를 뽑아 약 15분 기다린 후 게이지를 닦고 다시 꽂았다 뽑아 오일량이 F-L선 사이인지 확인합니다.</t>
  </si>
  <si>
    <t>평지, 예열, 시동 OFF, 약 15분, 게이지 닦기·재삽입, F-L 확인</t>
  </si>
  <si>
    <t>엔진 오일량 점검 및 보충</t>
  </si>
  <si>
    <t>경고등 비교</t>
  </si>
  <si>
    <t>아반떼 주행 중 엔진오일 압력 경고등이나 엔진 경고등이 켜졌어. 둘은 무슨 차이고 어떻게 해야 해?</t>
  </si>
  <si>
    <t>엔진 오일 압력 경고등은 오일 부족 등으로 유압이 낮을 때 켜지므로 안전한 곳에 정차해 오일량을 확인하고 부족하면 보충해야 합니다. 보충 후에도 꺼지지 않으면 점검받아야 합니다. 엔진 경고등은 엔진 제어장치나 연료 공급·배기 제어 계통 이상 가능성을 뜻하므로 가능한 빨리 점검받아야 하며, 일부 고장에서는 시동이 걸리지 않을 수 있어 견인이 필요할 수 있습니다.</t>
  </si>
  <si>
    <t>오일압력=정차·오일 확인/보충, 엔진경고=제어·연료·배기 이상·점검/견인 가능</t>
  </si>
  <si>
    <t>엔진 오일 압력 경고등·엔진 경고등</t>
  </si>
  <si>
    <t>유사 경고 구분</t>
  </si>
  <si>
    <t>아반떼를 다른 사람이 밀어서 옮길 수 있게 N단으로 주차하려면 어떻게 해야 해?</t>
  </si>
  <si>
    <t>평지에서만 해야 하며 Auto Hold가 켜져 있으면 먼저 해제합니다. 시동을 OFF로 전환한 뒤 3분 이내에 브레이크 페달을 밟고 N으로 변속해야 합니다. 3분이 지나면 다시 ON 후 OFF로 전환해야 N 변속 가능 시간이 다시 주어집니다.</t>
  </si>
  <si>
    <t>평지 한정, Auto Hold 해제, OFF 후 3분 이내, 브레이크, N</t>
  </si>
  <si>
    <t>N(중립)단 주차</t>
  </si>
  <si>
    <t>조건부 절차</t>
  </si>
  <si>
    <t>서울에 사는 30세가 아반떼 보험에 가입하면 1년에 정확히 얼마야?</t>
  </si>
  <si>
    <t>제공된 취급설명서에는 개인별 보험료 정보가 없습니다. 보험사, 운전자 조건, 보장 내용에 따라 달라지므로 문서만으로 답할 수 없습니다.</t>
  </si>
  <si>
    <t>보험료 정보 없음, 개인 조건 의존</t>
  </si>
  <si>
    <t>2026년에 아반떼가 국내에서 몇 대 팔렸어?</t>
  </si>
  <si>
    <t>제공된 취급설명서에는 연간 판매량 통계가 없습니다.</t>
  </si>
  <si>
    <t>판매 통계 없음</t>
  </si>
  <si>
    <t>아반떼 1.6 가솔린이 정지 상태에서 시속 100 km까지 가는 데 실제로 몇 초 걸려?</t>
  </si>
  <si>
    <t>제공된 취급설명서에는 0→100 km/h 가속 성능 수치가 없습니다. 임의의 수치를 제시하면 안 됩니다.</t>
  </si>
  <si>
    <t>가속 시간 정보 없음, 추측 금지</t>
  </si>
  <si>
    <t>아반떼 앞유리 선팅은 몇 %로 하는 게 가장 좋아?</t>
  </si>
  <si>
    <t>제공된 취급설명서에는 특정 선팅 농도를 추천하는 정보가 없습니다. 법규와 제품 특성을 별도로 확인해야 합니다.</t>
  </si>
  <si>
    <t>선팅 추천 정보 없음, 별도 법규 확인</t>
  </si>
  <si>
    <t>아반떼 하이브리드</t>
  </si>
  <si>
    <t>CN7 HEV</t>
  </si>
  <si>
    <t>하이브리드</t>
  </si>
  <si>
    <t>아반떼 하이브리드는 엔진이랑 무엇을 같이 써서 움직여?</t>
  </si>
  <si>
    <t>가솔린 엔진과 전기 모터입니다.</t>
  </si>
  <si>
    <t>가솔린 엔진, 전기 모터</t>
  </si>
  <si>
    <t>하이브리드 자동차 개요</t>
  </si>
  <si>
    <t>아반떼 하이브리드가 속도를 줄일 때 일반 차보다 브레이크가 더 세게 잡히는 것처럼 느껴져. 왜 그래?</t>
  </si>
  <si>
    <t>전기 모터가 발전기로 전환되어 차량의 운동 에너지를 전기 에너지로 바꾸고 배터리를 충전하기 때문입니다.</t>
  </si>
  <si>
    <t>모터 발전기 전환, 에너지 회수, 배터리 충전</t>
  </si>
  <si>
    <t>회생제동 시스템</t>
  </si>
  <si>
    <t>원인 설명</t>
  </si>
  <si>
    <t>안전 기능</t>
  </si>
  <si>
    <t>아반떼 하이브리드가 조용히 움직일 때 바깥에서 전자음이 나는 이유가 뭐야?</t>
  </si>
  <si>
    <t>저속에서 모터로 주행해 엔진 소리가 나지 않을 때 보행자가 차량 접근을 인식하도록 가상의 전자음을 발생시킵니다.</t>
  </si>
  <si>
    <t>저속 모터 주행, 보행자 인지, 가상 전자음</t>
  </si>
  <si>
    <t>가상엔진 사운드 시스템</t>
  </si>
  <si>
    <t>목적</t>
  </si>
  <si>
    <t>에너지 흐름</t>
  </si>
  <si>
    <t>아반떼 하이브리드 화면에 모터만으로 달리는 모습이 나오면 에너지가 어디서 어디로 흐르는 거야?</t>
  </si>
  <si>
    <t>배터리에서 휠로 에너지가 이동하는 상태로 표시됩니다.</t>
  </si>
  <si>
    <t>배터리→휠</t>
  </si>
  <si>
    <t>하이브리드 에너지 흐름도</t>
  </si>
  <si>
    <t>계기판</t>
  </si>
  <si>
    <t>아반떼 하이브리드 계기판의 CHARGE, ECO, POWER는 각각 어떤 운전 상태를 뜻해?</t>
  </si>
  <si>
    <t>CHARGE 쪽으로 내려갈수록 감속 에너지를 전기 에너지로 많이 변환하고 있음을 뜻합니다. POWER 쪽으로 올라갈수록 연비가 불리해집니다.</t>
  </si>
  <si>
    <t>CHARGE=회생 에너지 증가, POWER=연비 불리</t>
  </si>
  <si>
    <t>회생제동/ECO/파워 게이지</t>
  </si>
  <si>
    <t>표시 해석</t>
  </si>
  <si>
    <t>아반떼 하이브리드 배터리 표시의 L과 H는 무슨 뜻이야?</t>
  </si>
  <si>
    <t>L은 고전압 배터리 잔량이 부족해 충전이 필요한 상태이고, H는 완전 충전 상태입니다.</t>
  </si>
  <si>
    <t>L=부족·충전 필요, H=완전 충전</t>
  </si>
  <si>
    <t>고전압 배터리 충전량 표시계</t>
  </si>
  <si>
    <t>표시등</t>
  </si>
  <si>
    <t>아반떼 하이브리드의 주행 가능 표시등이 켜지거나 꺼지거나 깜빡이면 각각 어떤 상태야?</t>
  </si>
  <si>
    <t>켜짐은 정상 주행 가능, 꺼짐은 정상 주행 불가능 또는 고장, 깜빡임은 이상 발생을 뜻하므로 점검과 정비가 필요합니다.</t>
  </si>
  <si>
    <t>켜짐=주행 가능, 꺼짐=불가능/고장, 깜빡임=이상·점검</t>
  </si>
  <si>
    <t>주행 가능 표시등</t>
  </si>
  <si>
    <t>상태 구분</t>
  </si>
  <si>
    <t>아반떼 하이브리드 계기판의 EV 표시가 켜질 때와 꺼질 때는 언제야?</t>
  </si>
  <si>
    <t>정차 중 엔진이 정지했거나, 주행 중 회생제동 또는 모터 단독 구동을 할 때 켜집니다. 엔진만 사용하거나 엔진과 모터를 함께 사용해 주행하면 꺼집니다.</t>
  </si>
  <si>
    <t>엔진 정지·모터 단독·회생 시 켜짐, 엔진/엔진+모터 시 꺼짐</t>
  </si>
  <si>
    <t>EV 모드 표시등</t>
  </si>
  <si>
    <t>경고 대응</t>
  </si>
  <si>
    <t>아반떼 하이브리드에서 브레이크 경고등과 노란 회생제동 경고등이 같이 켜졌어. 계속 운전해도 돼?</t>
  </si>
  <si>
    <t>브레이크 계통 이상으로 회생제동이 작동하지 않고 제동 성능이 떨어진 상태입니다. 페달 조작량과 제동거리가 늘 수 있으므로 안전하게 주행한 뒤 즉시 점검받아야 합니다.</t>
  </si>
  <si>
    <t>회생제동 불가, 제동 성능 저하, 페달·제동거리 증가, 점검</t>
  </si>
  <si>
    <t>회생제동 경고등</t>
  </si>
  <si>
    <t>아반떼 하이브리드에 '배터리가 부족합니다. 충전을 위해 정차하십시오'가 떴어. 어떻게 해야 해?</t>
  </si>
  <si>
    <t>차량을 안전한 곳에 정차한 뒤 P단으로 변속해 하이브리드 배터리가 충전되도록 해야 합니다.</t>
  </si>
  <si>
    <t>안전한 곳 정차, P단, 배터리 충전</t>
  </si>
  <si>
    <t>배터리 부족 경고</t>
  </si>
  <si>
    <t>아반떼 하이브리드에 인버터 냉각수를 보충하라는 메시지가 떴어. 그냥 계속 달리면 안 돼?</t>
  </si>
  <si>
    <t>하이브리드 하드웨어를 보호하는 냉각수가 부족한 상태이므로 주행을 중지하고 냉각수량을 확인해야 합니다. 장시간 계속 주행하면 하이브리드 시스템에 심각한 영향이 생겨 주행 불가 상태가 될 수 있습니다.</t>
  </si>
  <si>
    <t>주행 중지, 냉각수 확인, 장시간 주행 시 시스템 손상·주행 불가</t>
  </si>
  <si>
    <t>인버터 냉각수 경고</t>
  </si>
  <si>
    <t>원인·위험</t>
  </si>
  <si>
    <t>기능 목적</t>
  </si>
  <si>
    <t>아반떼 하이브리드가 주행 중 가속 페달에서 발을 떼라고 안내할 때가 있는데 왜 그러는 거야?</t>
  </si>
  <si>
    <t>내비게이션이 전방 감속 지점을 예측하면 가속 페달에서 발을 뗄 시점을 알림음과 표시등으로 안내합니다. 불필요한 연료 소비와 브레이크 사용을 줄여 연비를 높이는 것이 목적입니다.</t>
  </si>
  <si>
    <t>감속 지점 예측, 가속 페달 해제 시점, 연료·브레이크 사용 감소, 연비 향상</t>
  </si>
  <si>
    <t>관성주행 안내</t>
  </si>
  <si>
    <t>아반떼 하이브리드의 관성주행 안내는 언제 나타나?</t>
  </si>
  <si>
    <t>내비게이션에서 목적지와 경로가 설정되어 있어야 하며, ECO 모드가 선택되고, 차량 속도가 30~160 km/h이며, 운전자가 가속 페달을 밟고 있어야 합니다.</t>
  </si>
  <si>
    <t>목적지·경로 설정, ECO, 30~160 km/h, 가속 페달 밟음</t>
  </si>
  <si>
    <t>관성주행 안내 작동 조건</t>
  </si>
  <si>
    <t>다중 조건</t>
  </si>
  <si>
    <t>조건·예외</t>
  </si>
  <si>
    <t>아반떼 하이브리드에서 그린존 모드를 켰는데도 엔진이 돌아갈 때가 있어. 어떤 경우야?</t>
  </si>
  <si>
    <t>배터리 충전 상태가 낮거나, 냉난방에 엔진 동력이 필요하거나, 가속·오르막 주행으로 엔진 힘이 필요하거나, 엔진·변속기 등 구동계의 원활한 작동을 위해 시동이 필요한 경우에는 그린존에서도 엔진이 작동할 수 있습니다.</t>
  </si>
  <si>
    <t>배터리 낮음, 냉난방, 가속·오르막, 구동계 보호·작동</t>
  </si>
  <si>
    <t>대기 환경 보호 주행</t>
  </si>
  <si>
    <t>예외 판단</t>
  </si>
  <si>
    <t>경고문 비교</t>
  </si>
  <si>
    <t>아반떼 하이브리드에 정차하라는 경고나 시동을 걸지 말라는 경고, 전원공급장치 점검 경고가 뜨면 각각 어떻게 대응해야 해?</t>
  </si>
  <si>
    <t>'하이브리드 시스템 점검! 안전한 곳에 정차하십시오'는 안전한 곳에 정차하고 점검받아야 합니다. '하이브리드 시스템 점검! 시동을 걸지 마십시오'는 시동이 걸리지 않고 SOC가 매우 낮은 상황이므로 재시동을 시도하지 말고 점검받아야 합니다. '전원공급장치 점검! 안전한 곳에 정차하십시오'는 전원 공급 시스템 고장이므로 정차 후 차량을 견인해 점검받아야 합니다.</t>
  </si>
  <si>
    <t>정차·점검, 시동 금지, 전원 고장 시 견인</t>
  </si>
  <si>
    <t>하이브리드 시스템 경고문</t>
  </si>
  <si>
    <t>아반떼 하이브리드의 고전압 배터리 쪽을 직접 만져도 돼? 배터리 액이 피부나 눈에 닿으면 어떻게 해야 해?</t>
  </si>
  <si>
    <t>고전압 케이블과 배터리 시스템을 만지거나 분해하면 감전으로 중상 또는 사망할 수 있고 차량 성능·내구성에도 문제가 생길 수 있습니다. 전해액이 피부·옷·눈에 닿으면 최소 15분 동안 흐르는 깨끗한 물로 씻고 즉시 의료 조치를 받아야 합니다.</t>
  </si>
  <si>
    <t>임의 접촉·분해 금지, 감전·사망 위험, 성능 저하, 15분 세척, 즉시 의료 조치</t>
  </si>
  <si>
    <t>하이브리드 시스템 안전 주의 사항</t>
  </si>
  <si>
    <t>다중 안전 근거</t>
  </si>
  <si>
    <t>아반떼 하이브리드 고전압 배터리는 어느 회사 제품이고 어떤 배터리 화학을 써?</t>
  </si>
  <si>
    <t>제공된 취급설명서에는 고전압 배터리 제조사와 세부 셀 화학 조성이 명시되어 있지 않습니다.</t>
  </si>
  <si>
    <t>제조사·화학 조성 확인 불가</t>
  </si>
  <si>
    <t>서울 시내 출퇴근에서 아반떼 하이브리드는 실제로 평균 연비가 몇 km/L 나와?</t>
  </si>
  <si>
    <t>제공된 취급설명서만으로 특정 운전자의 실제 도심 연비를 정확히 알 수 없습니다. 교통과 운전 습관 등에 따라 달라집니다.</t>
  </si>
  <si>
    <t>실제 연비 수치 없음, 환경·습관 의존</t>
  </si>
  <si>
    <t>아반떼 하이브리드 고전압 배터리를 바꾸면 부품비와 공임까지 정확히 얼마 들어?</t>
  </si>
  <si>
    <t>제공된 취급설명서에는 고전압 배터리 교체 비용이 없습니다. 정비 시점과 부품 가격에 따라 달라집니다.</t>
  </si>
  <si>
    <t>교체 비용 정보 없음</t>
  </si>
  <si>
    <t>2026년에 아반떼 하이브리드를 사면 정부 보조금을 얼마 받을 수 있어?</t>
  </si>
  <si>
    <t>제공된 취급설명서에는 구매 보조금이나 세제 혜택 정보가 없습니다. 해당 시점의 정부·지자체 제도를 확인해야 합니다.</t>
  </si>
  <si>
    <t>보조금 정보 없음, 시점·지역별 확인</t>
  </si>
  <si>
    <t>넥쏘</t>
  </si>
  <si>
    <t>NH2</t>
  </si>
  <si>
    <t>수소전기</t>
  </si>
  <si>
    <t>넥쏘는 수소로 어떻게 전기를 만들어 차를 움직여?</t>
  </si>
  <si>
    <t>연료 전지에서 발생한 전기를 차량의 동력으로 사용합니다.</t>
  </si>
  <si>
    <t>연료 전지에서 발생한 전기</t>
  </si>
  <si>
    <t>수소 전기차 이해하기</t>
  </si>
  <si>
    <t>부품 역할</t>
  </si>
  <si>
    <t>넥쏘의 연료전지 스택 안에서는 수소로 전기가 어떻게 만들어져?</t>
  </si>
  <si>
    <t>수소 연료와 공기를 공급받아 연소 과정 없이 전기를 생성합니다.</t>
  </si>
  <si>
    <t>수소+공기, 연소 없이 전기 생성</t>
  </si>
  <si>
    <t>연료 전지 스택</t>
  </si>
  <si>
    <t>배터리</t>
  </si>
  <si>
    <t>넥쏘에는 고전압 배터리와 12 V 배터리가 있다는데 각각 어디에 쓰여?</t>
  </si>
  <si>
    <t>고전압 배터리는 구동 모터와 공조기를 작동하고, 12 V 배터리는 조명·와이퍼·오디오 등을 작동합니다.</t>
  </si>
  <si>
    <t>고전압=모터·공조기, 12 V=조명·와이퍼·오디오</t>
  </si>
  <si>
    <t>수소 전기차에 사용되는 배터리</t>
  </si>
  <si>
    <t>넥쏘를 추운 날 세워 뒀는데 시동을 안 걸어도 차에서 소리가 나. 연료전지 보호 기능이 왜 작동하는 거야?</t>
  </si>
  <si>
    <t>주차 중 연료 전지 시스템 내부가 얼지 않도록 동결을 방지하는 기능입니다.</t>
  </si>
  <si>
    <t>주차 중, 연료 전지 시스템 동결 방지</t>
  </si>
  <si>
    <t>주차 중 연료 전지 시스템 보호 기능</t>
  </si>
  <si>
    <t>넥쏘 수소가 15% 아래로 남으면 주차 중 연료전지 보호 기능도 작동해?</t>
  </si>
  <si>
    <t>작동하지 않습니다.</t>
  </si>
  <si>
    <t>15% 미만, 기능 미작동</t>
  </si>
  <si>
    <t>수치 조건</t>
  </si>
  <si>
    <t>넥쏘의 가상 엔진 사운드 시스템은 언제 작동하고, 후진할 때는 어떤 소리가 더 나?</t>
  </si>
  <si>
    <t>시동이 걸린 상태에서 P 이외의 위치로 변속하면 작동합니다. 후진할 때는 가상 엔진 사운드 외에 별도의 경고음이 추가됩니다.</t>
  </si>
  <si>
    <t>시동 상태, P 이외, 후진 시 별도 경고음</t>
  </si>
  <si>
    <t>가상 엔진 사운드 시스템</t>
  </si>
  <si>
    <t>원인 분석</t>
  </si>
  <si>
    <t>넥쏘의 남은 주행 가능 거리가 평소보다 짧게 표시돼. 어떤 것들이 영향을 줘?</t>
  </si>
  <si>
    <t>높은 속도와 잦은 가감속, 에어컨·히터·램프 사용, 눈·비·강풍·저온 같은 환경, 오르막이나 거친 노면, 고전압 배터리의 온도와 건강 상태 등이 주행 가능 거리를 줄일 수 있습니다.</t>
  </si>
  <si>
    <t>속도·가감속, 전기 부하, 날씨·온도, 지형·노면, 배터리 상태</t>
  </si>
  <si>
    <t>주행 가능 거리에 영향을 미치는 요소</t>
  </si>
  <si>
    <t>운전 요령</t>
  </si>
  <si>
    <t>넥쏘로 한 번 충전해서 더 멀리 가려면 운전을 어떻게 하는 게 좋아?</t>
  </si>
  <si>
    <t>과속을 피하고, 급가속·급감속을 줄이며, 가속 페달을 일정하게 유지해 경제 속도로 주행해야 합니다. 냉난방 등 전기 부하도 필요 이상으로 사용하지 않는 것이 좋습니다.</t>
  </si>
  <si>
    <t>과속 금지, 급가속·급감속 회피, 일정한 가속, 전기 부하 절감</t>
  </si>
  <si>
    <t>주행 가능 거리 향상을 위한 팁</t>
  </si>
  <si>
    <t>행동 권고</t>
  </si>
  <si>
    <t>겨울에 넥쏘에 텐트를 연결해서 차박해도 괜찮아?</t>
  </si>
  <si>
    <t>영하에서 보호 기능이 작동하면 물 배출로 수증기가 생기고 수소가 함께 차량 연결 텐트 내부로 유입될 수 있기 때문입니다.</t>
  </si>
  <si>
    <t>보호 기능 작동, 수증기·수소 유입 위험</t>
  </si>
  <si>
    <t>겨울철 차박 또는 캠핑 주의</t>
  </si>
  <si>
    <t>고장 대응</t>
  </si>
  <si>
    <t>넥쏘에서 수소 누출이 감지됐어. 차는 어떻게 반응하고 나는 뭘 해야 해?</t>
  </si>
  <si>
    <t>수소 공급을 차단하고 연료 전지 시스템 작동을 멈춥니다. 차량은 고전압 배터리 전력만 사용하는 EV 모드로 전환되어 약 3 km 정도 주행할 수 있으며, 반드시 하이테크센터나 블루핸즈에서 점검받아야 합니다.</t>
  </si>
  <si>
    <t>수소 차단, 연료 전지 정지, EV 모드, 약 3 km, 점검</t>
  </si>
  <si>
    <t>수소 감지 센서</t>
  </si>
  <si>
    <t>충전 안전</t>
  </si>
  <si>
    <t>넥쏘 수소 충전은 주유처럼 내가 직접 하면 안 돼?</t>
  </si>
  <si>
    <t>수소 충전은 고압가스 관련 자격과 교육을 이수한 사람만 취급할 수 있으므로 셀프 충전 같은 임의 충전은 금지됩니다.</t>
  </si>
  <si>
    <t>고압가스 자격·교육 이수자만, 셀프 충전 금지</t>
  </si>
  <si>
    <t>수소 전기차 충전 시 안전</t>
  </si>
  <si>
    <t>안전 규정</t>
  </si>
  <si>
    <t>충전 절차</t>
  </si>
  <si>
    <t>넥쏘에 수소를 넣기 전과 다 넣은 뒤에는 시동과 충전구를 어떻게 해야 해?</t>
  </si>
  <si>
    <t>충전 전에 반드시 시동을 꺼야 하며, 시동이 켜져 있으면 충전구 커버를 열 수 없습니다. 충전 후에는 연료 충전구 캡을 정확히 씌우고 커버를 닫은 뒤 시동을 걸어야 하며, 커버가 열려 있으면 시동이 걸리지 않습니다.</t>
  </si>
  <si>
    <t>충전 전 시동 OFF, 캡 정확히 장착, 커버 닫은 뒤 시동, 커버 열림 시 시동 불가</t>
  </si>
  <si>
    <t>기능 구조</t>
  </si>
  <si>
    <t>넥쏘가 주차 중 연료전지 시스템을 보호할 때 어떤 기능이 돌아가고, 배터리나 수소를 어떻게 사용해?</t>
  </si>
  <si>
    <t>승온 기능은 냉각수 온도를 관리하기 위해 고전압 배터리를 사용합니다. 물 배출 기능은 연료 전지 시스템 내부의 물을 배출하기 위해 수소 연료를 사용하며 주차 중 1회 작동합니다.</t>
  </si>
  <si>
    <t>승온=고전압 배터리, 물 배출=수소 연료, 주차 중 1회</t>
  </si>
  <si>
    <t>구성 비교</t>
  </si>
  <si>
    <t>종료 조건</t>
  </si>
  <si>
    <t>넥쏘의 주차 중 연료전지 보호 기능이 작동하다가 중간에 멈추는 경우는 언제야?</t>
  </si>
  <si>
    <t>시동 버튼을 조작하거나, 후드를 열거나, R 또는 D로 변속하거나, 연료 도어를 열거나, 관련 고장이 발생하면 종료될 수 있습니다.</t>
  </si>
  <si>
    <t>시동 버튼, 후드 열림, R/D 변속, 연료 도어 열림, 고장</t>
  </si>
  <si>
    <t>보호 기능 종료 조건</t>
  </si>
  <si>
    <t>충전 방식 비교</t>
  </si>
  <si>
    <t>넥쏘 수소 충전에서 통신 충전과 비통신 충전은 뭐가 달라? 비통신 충전 뒤에 더 채울 수도 있어?</t>
  </si>
  <si>
    <t>비통신 충전은 충전소와 차량이 통신하지 못하는 상태라 통신 충전보다 덜 충전될 수 있습니다. 비통신 충전 종료 후 다시 충전하면 통신 충전으로 전환되어 완전히 충전할 수 있습니다.</t>
  </si>
  <si>
    <t>비통신=차량·충전소 통신 불가·덜 충전, 재충전 시 통신 충전·완전 충전 가능</t>
  </si>
  <si>
    <t>수소 충전 알아두기</t>
  </si>
  <si>
    <t>추론</t>
  </si>
  <si>
    <t>넥쏘 서비스센터에서 주행 가능 거리 표시를 초기화했더니 숫자가 늘었어. 실제로 더 멀리 갈 수 있게 된 거야?</t>
  </si>
  <si>
    <t>초기화는 클러스터가 계산에 사용하는 학습값을 바꾸는 것이므로 표시 수치가 길어질 수 있을 뿐, 차량의 실제 수소량이나 에너지 효율이 증가하는 것은 아니기 때문입니다.</t>
  </si>
  <si>
    <t>표시 계산 학습값 초기화, 실제 에너지·효율 증가 아님</t>
  </si>
  <si>
    <t>100% 충전 시 주행 가능 거리의 변화</t>
  </si>
  <si>
    <t>근거 추론</t>
  </si>
  <si>
    <t>내일 서울에서 넥쏘에 수소를 넣으면 1 kg에 정확히 얼마야?</t>
  </si>
  <si>
    <t>제공된 취급설명서에는 실시간 또는 미래 수소 가격 정보가 없습니다.</t>
  </si>
  <si>
    <t>실시간 가격 없음</t>
  </si>
  <si>
    <t>넥쏘 수소탱크는 어느 회사가 어느 공장에서 만든 거야?</t>
  </si>
  <si>
    <t>제공된 취급설명서에서는 수소 탱크의 제조사와 납품 공장을 확인할 수 없습니다.</t>
  </si>
  <si>
    <t>제조사·공장 정보 없음</t>
  </si>
  <si>
    <t>넥쏘를 1년 유지하는 데 평균적으로 정확히 얼마 들어?</t>
  </si>
  <si>
    <t>제공된 취급설명서에는 보험·연료비·정비비를 합산한 연간 유지비 정보가 없습니다. 사용자 조건에 따라 달라집니다.</t>
  </si>
  <si>
    <t>유지비 정보 없음, 사용자 조건 의존</t>
  </si>
  <si>
    <t>2030년에 넥쏘를 팔면 신차 가격의 몇 % 정도 받을 수 있어?</t>
  </si>
  <si>
    <t>제공된 취급설명서에는 미래 잔존가치 예측 정보가 없습니다.</t>
  </si>
  <si>
    <t>미래 잔존가치 없음</t>
  </si>
  <si>
    <t>투싼</t>
  </si>
  <si>
    <t>NX4</t>
  </si>
  <si>
    <t>가솔린/디젤</t>
  </si>
  <si>
    <t>투싼으로 급한 내리막길을 내려갈 때 속도를 알아서 잡아주는 기능이 있어?</t>
  </si>
  <si>
    <t>일정 경사 이상의 내리막길에서 브레이크와 가속 페달을 밟지 않아도 낮은 속도로 내려갈 수 있도록 차량 속도 제어를 돕는 기능입니다.</t>
  </si>
  <si>
    <t>내리막·경사로, 저속 유지, 페달 조작 감소</t>
  </si>
  <si>
    <t>경사로 저속 주행 시스템</t>
  </si>
  <si>
    <t>구동</t>
  </si>
  <si>
    <t>투싼 HTRAC는 평소 도로와 미끄럽거나 험한 길에서 바퀴에 힘을 어떻게 나눠?</t>
  </si>
  <si>
    <t>일반 도로에서는 전륜과 후륜의 구동력을 적절히 배분하고, 급경사·모랫길·진흙길 같은 험로에서는 구동력을 극대화해 주행성을 높입니다.</t>
  </si>
  <si>
    <t>일반 도로 전후륜 배분, 험로 구동력 극대화</t>
  </si>
  <si>
    <t>HTRAC(4륜구동)</t>
  </si>
  <si>
    <t>주행 모드</t>
  </si>
  <si>
    <t>투싼에서 길 상태에 맞춰 고를 수 있는 주행 모드는 어떤 것들이 있어?</t>
  </si>
  <si>
    <t>AUTO, SNOW, MUD, SAND 모드가 있습니다.</t>
  </si>
  <si>
    <t>AUTO, SNOW, MUD, SAND</t>
  </si>
  <si>
    <t>험로 주행 모드</t>
  </si>
  <si>
    <t>편의 기능</t>
  </si>
  <si>
    <t>투싼 스마트 테일게이트는 키를 들고 뒤에 서 있으면 언제 자동으로 열려?</t>
  </si>
  <si>
    <t>모든 도어가 잠긴 뒤 약 15초가 지나고, 스마트 키를 휴대한 채 테일게이트 뒤쪽 50~100 cm 이내 감지 영역에서 3초 이상 대기하면 자동으로 열립니다.</t>
  </si>
  <si>
    <t>도어 잠금 후 15초, 50~100 cm, 3초 이상</t>
  </si>
  <si>
    <t>스마트 테일게이트 작동 방법</t>
  </si>
  <si>
    <t>투싼 타이어 경고등이 한동안 깜빡이다가 계속 켜졌어. 무슨 뜻이야?</t>
  </si>
  <si>
    <t>타이어 공기압 감지 시스템에 이상이 있다는 뜻이므로 하이테크센터나 블루핸즈에서 점검받아야 합니다.</t>
  </si>
  <si>
    <t>1분 깜빡임 후 점등, TPMS 이상, 점검</t>
  </si>
  <si>
    <t>투싼 Auto Hold가 브레이크를 잡고 있을 때 가속 페달을 밟으면 어떻게 돼?</t>
  </si>
  <si>
    <t>브레이크 상태가 자동으로 해제되고 차량이 출발하며, AUTO HOLD 표시등은 초록색에서 흰색으로 바뀌어 대기 상태가 됩니다.</t>
  </si>
  <si>
    <t>브레이크 자동 해제, 출발, 초록→흰색</t>
  </si>
  <si>
    <t>자동 정차 상태에서 차량 출발 방법</t>
  </si>
  <si>
    <t>직접 결과</t>
  </si>
  <si>
    <t>투싼의 내리막길 저속 주행 기능은 아무 때나 작동해? 속도나 길 상태 조건이 있어?</t>
  </si>
  <si>
    <t>작동 대기 상태에서 노면이 일정 경사 이상이고 브레이크·가속 페달을 밟지 않아야 합니다. MUD 모드에서는 차량 속도가 4~40 km/h 범위일 때 작동합니다.</t>
  </si>
  <si>
    <t>일정 경사 이상, 페달 미조작, MUD 모드 4~40 km/h</t>
  </si>
  <si>
    <t>경사로 저속 주행 시스템 작동</t>
  </si>
  <si>
    <t>투싼에 내리막길 저속 주행 기능이 해제됐다는 경고가 떴어. 어떻게 해야 해?</t>
  </si>
  <si>
    <t>브레이크 페달을 직접 밟아 차량 속도를 조절해야 합니다.</t>
  </si>
  <si>
    <t>브레이크 페달 직접 조작, 속도 조절</t>
  </si>
  <si>
    <t>경사로 저속 주행 시스템 경고</t>
  </si>
  <si>
    <t>모드 비교</t>
  </si>
  <si>
    <t>투싼의 주행 모드는 각각 어떤 상황에서 사용해?</t>
  </si>
  <si>
    <t>SNOW는 눈길처럼 미끄러운 노면, MUD는 진흙탕·비포장·불균일 노면, SAND는 부드럽고 건조한 모랫길·자갈길·비포장도로에 사용합니다.</t>
  </si>
  <si>
    <t>SNOW=눈길, MUD=진흙·비포장, SAND=모래·자갈</t>
  </si>
  <si>
    <t>상황 분류</t>
  </si>
  <si>
    <t>주의 사항</t>
  </si>
  <si>
    <t>투싼에서 험로 주행 모드를 켠 채 일반 도로를 계속 달려도 괜찮아?</t>
  </si>
  <si>
    <t>특히 선회 시 4륜구동계 부품이 손상될 수 있고 진동과 소음이 발생할 수 있으므로 일반 도로에서는 AUTO 모드를 유지해야 합니다.</t>
  </si>
  <si>
    <t>일반 도로 AUTO, 4WD 부품 손상 가능, 진동·소음</t>
  </si>
  <si>
    <t>험로 주행 모드 주의 사항</t>
  </si>
  <si>
    <t>투싼이 신호 대기 중 엔진을 껐다가 앞차가 움직이면 다시 켜지기도 하던데, 무엇을 보고 판단하는 거야?</t>
  </si>
  <si>
    <t>ISG로 엔진이 정지한 상태에서 전방 카메라가 앞차의 출발을 감지하면 엔진을 자동으로 다시 시동합니다.</t>
  </si>
  <si>
    <t>ISG 정지, 전방 카메라, 앞차 출발 감지, 자동 재시동</t>
  </si>
  <si>
    <t>스마트 공회전 제한 시스템</t>
  </si>
  <si>
    <t>기능 원리</t>
  </si>
  <si>
    <t>투싼 주행 중 브레이크 페달이 제대로 안 되면 전자식 파킹 브레이크로 멈출 수 있어? 어떻게 해야 해?</t>
  </si>
  <si>
    <t>EPB 스위치를 계속 당기고 있는 동안만 제동되고, 손을 떼면 제동이 멈춥니다. 차량이 정지할 때까지 계속 당기면 EPB가 체결되지만, 비상 제동 거리는 정상 제동보다 길 수 있으므로 실제 비상 상황에서만 사용해야 합니다.</t>
  </si>
  <si>
    <t>스위치 계속 당김, 손 떼면 해제, 정지 시 EPB 체결, 제동거리 증가, 비상 시만</t>
  </si>
  <si>
    <t>전자식 파킹 브레이크 긴급 작동</t>
  </si>
  <si>
    <t>다단계 안전</t>
  </si>
  <si>
    <t>투싼 가솔린 엔진오일을 직접 확인하고 부족하면 보충하려면 어떻게 해?</t>
  </si>
  <si>
    <t>평지에서 엔진을 정상 온도까지 예열한 뒤 시동을 끄고 약 15분 기다립니다. 레벨 게이지를 닦아 다시 꽂았다 뽑고 F-L선 사이인지 확인합니다. L선 이하이면 오일을 F선까지 보충하고 다시 규정 범위인지 확인한 뒤 주입구 캡과 게이지를 확실히 장착합니다.</t>
  </si>
  <si>
    <t>평지·예열, 시동 OFF·15분, 게이지 확인, F-L, L 이하 시 F까지 보충, 재확인</t>
  </si>
  <si>
    <t>엔진 오일량 점검 및 보충(가솔린)</t>
  </si>
  <si>
    <t>기능 관계</t>
  </si>
  <si>
    <t>투싼에서 Auto Hold를 켠 채 시동을 끄면 주차 브레이크가 자동으로 걸려? 주행 중 EPB로 급제동하는 것과는 뭐가 달라?</t>
  </si>
  <si>
    <t>Auto Hold가 켜진 채 차량이 정지한 후 시동을 끄면 안전을 위해 EPB가 자동으로 체결됩니다. 반면 주행 중 EPB 비상 제동은 브레이크 페달 고장 같은 비상 상황에서 운전자가 스위치를 계속 당겨 제동하는 수동 비상 조작입니다.</t>
  </si>
  <si>
    <t>Auto Hold+시동 OFF=EPB 자동 체결, 주행 중 EPB=스위치 당기는 비상 수동 제동</t>
  </si>
  <si>
    <t>전자식 파킹 브레이크 자동·긴급 작동</t>
  </si>
  <si>
    <t>기능 비교</t>
  </si>
  <si>
    <t>시스템 한계</t>
  </si>
  <si>
    <t>투싼이 앞차가 출발했는데도 엔진을 다시 켜지 않을 때가 있어. 어떤 환경에서 그럴 수 있고 내가 직접 재시동하려면 어떻게 해?</t>
  </si>
  <si>
    <t>전방 카메라가 오염되거나 손상된 경우, 폭우·폭설·짙은 안개, 강한 눈부심, 어두운 터널, 윈드쉴드 습기·결빙 등에서는 앞차 출발을 감지하지 못할 수 있습니다. 이때도 브레이크 페달에서 발을 떼면 기본 ISG 동작에 따라 엔진이 다시 시동됩니다.</t>
  </si>
  <si>
    <t>카메라 오염·악천후·눈부심·어두움·결빙, 브레이크에서 발 떼면 재시동</t>
  </si>
  <si>
    <t>스마트 ISG 기능 제한</t>
  </si>
  <si>
    <t>한계·대안</t>
  </si>
  <si>
    <t>투싼이 고속도로 주행 보조로 앞차를 따라 멈췄어. 앞차가 금방 출발할 때와 30초 넘게 멈춘 뒤 출발할 때 차 반응이 달라?</t>
  </si>
  <si>
    <t>정차 후 약 30초 이내에 앞차가 출발하면 자동으로 출발합니다. 약 30초가 지나면 가속 페달을 밟거나 +·- 스위치 또는 재개 스위치를 조작해야 출발합니다.</t>
  </si>
  <si>
    <t>30초 이내 자동 출발, 이후 페달·스위치 조작</t>
  </si>
  <si>
    <t>고속도로 주행 보조 정차 후 재출발</t>
  </si>
  <si>
    <t>지금 투싼 중고차는 평균적으로 얼마에 거래돼?</t>
  </si>
  <si>
    <t>제공된 취급설명서에는 실시간 중고차 거래 가격 정보가 없습니다.</t>
  </si>
  <si>
    <t>실시간 시세 없음</t>
  </si>
  <si>
    <t>서울에서 투싼 디젤을 타면 1년 자동차세가 정확히 얼마야?</t>
  </si>
  <si>
    <t>제공된 취급설명서에는 자동차세 정보가 없습니다. 배기량, 등록 시점, 세제에 따라 별도로 확인해야 합니다.</t>
  </si>
  <si>
    <t>세금 정보 없음, 별도 조건</t>
  </si>
  <si>
    <t>투싼 HTRAC는 경쟁 SUV보다 눈길 출발이 몇 % 더 빨라?</t>
  </si>
  <si>
    <t>제공된 취급설명서에는 경쟁 차량 대비 정량적인 출발 성능 비교 데이터가 없습니다.</t>
  </si>
  <si>
    <t>경쟁 비교 수치 없음</t>
  </si>
  <si>
    <t>전국 블루핸즈에서 투싼 엔진오일을 갈면 평균 비용이 얼마야?</t>
  </si>
  <si>
    <t>제공된 취급설명서에는 정비소별 엔진 오일 교환 비용이 없습니다. 지점·오일 종류·시점에 따라 달라집니다.</t>
  </si>
  <si>
    <t>정비 비용 정보 없음</t>
  </si>
  <si>
    <t>RAG 프롬프트 엔지니어링 평가용 질문·모범답안 100세트</t>
  </si>
  <si>
    <t>구분</t>
  </si>
  <si>
    <t>개수</t>
  </si>
  <si>
    <t>질문 수</t>
  </si>
  <si>
    <t>전체 질문</t>
  </si>
  <si>
    <t>데이터셋 설계</t>
  </si>
  <si>
    <t>항목</t>
  </si>
  <si>
    <t>내용</t>
  </si>
  <si>
    <t>차량 구성</t>
  </si>
  <si>
    <t>아이오닉 6, 아반떼, 아반떼 하이브리드, 넥쏘, 투싼 각 20문항</t>
  </si>
  <si>
    <t>답변 가능성</t>
  </si>
  <si>
    <t>문서 내 답변 80문항 + 문서 외 질문 20문항</t>
  </si>
  <si>
    <t>쉬움 30문항 + 보통 40문항 + 어려움 30문항</t>
  </si>
  <si>
    <t>문항 유형</t>
  </si>
  <si>
    <t>직접 사실, 표 해석, 절차, 조건·예외, 안전 대응, 다중 근거, 환각 억제</t>
  </si>
  <si>
    <t>권장 실험</t>
  </si>
  <si>
    <t>같은 질문·같은 검색 Top-k·같은 Qwen 설정으로 프롬프트 5종을 비교</t>
  </si>
  <si>
    <t>문서 외 질문 채점</t>
  </si>
  <si>
    <t>모델이 정보 부족을 명시하고 문서 밖 내용을 지어내지 않아야 정답</t>
  </si>
  <si>
    <t>사용 시 주의</t>
  </si>
  <si>
    <t>1</t>
  </si>
  <si>
    <t>근거 페이지는 PDF 뷰어 기준 1쪽부터 시작하는 페이지 번호입니다.</t>
  </si>
  <si>
    <t>2</t>
  </si>
  <si>
    <t>차량 사양에 따라 일부 기능이 적용되지 않을 수 있으므로 모델 답변은 문서 표현을 우선해야 합니다.</t>
  </si>
  <si>
    <t>3</t>
  </si>
  <si>
    <t>문서 외 질문은 검색 실패·정보 부족 상황에서 추측을 막는 프롬프트 성능을 평가하기 위한 항목입니다.</t>
  </si>
  <si>
    <t>4</t>
  </si>
  <si>
    <t>모범답안과 표현이 달라도 핵심 채점어와 의미가 일치하면 정답으로 평가할 수 있습니다.</t>
  </si>
  <si>
    <t>모델 응답 평가 기준(권장)</t>
  </si>
  <si>
    <t>평가 항목</t>
  </si>
  <si>
    <t>0점</t>
  </si>
  <si>
    <t>1점</t>
  </si>
  <si>
    <t>2점</t>
  </si>
  <si>
    <t>설명</t>
  </si>
  <si>
    <t>정답성</t>
  </si>
  <si>
    <t>핵심 내용이 틀림</t>
  </si>
  <si>
    <t>일부만 맞거나 모호함</t>
  </si>
  <si>
    <t>모범답안과 핵심 의미가 일치</t>
  </si>
  <si>
    <t>사실 관계의 정확성</t>
  </si>
  <si>
    <t>근거성</t>
  </si>
  <si>
    <t>문서와 충돌하거나 근거 없음</t>
  </si>
  <si>
    <t>근거가 부분적</t>
  </si>
  <si>
    <t>문서 내용에 충실함</t>
  </si>
  <si>
    <t>검색 문맥에 기반했는지 평가</t>
  </si>
  <si>
    <t>완전성</t>
  </si>
  <si>
    <t>질문의 주요 요구를 놓침</t>
  </si>
  <si>
    <t>일부 요구만 충족</t>
  </si>
  <si>
    <t>모든 핵심 요구를 충족</t>
  </si>
  <si>
    <t>다단계·비교 질문에서 중요</t>
  </si>
  <si>
    <t>문서 밖 내용을 지어냄</t>
  </si>
  <si>
    <t>불확실성을 일부 표현</t>
  </si>
  <si>
    <t>정보 부족을 명확히 말하고 추측하지 않음</t>
  </si>
  <si>
    <t>문서 외 질문에서 특히 중요</t>
  </si>
  <si>
    <t>권장 총점: 문항당 8점 (정답성 2 + 근거성 2 + 완전성 2 + 환각 억제 2)</t>
  </si>
  <si>
    <t>문항 종류</t>
  </si>
  <si>
    <t>문서 내·쉬움</t>
  </si>
  <si>
    <t>핵심 사실</t>
  </si>
  <si>
    <t>근거 일치</t>
  </si>
  <si>
    <t>간결한 완결 답변</t>
  </si>
  <si>
    <t>불필요한 추가 정보 금지</t>
  </si>
  <si>
    <t>문서 내·보통</t>
  </si>
  <si>
    <t>조건·절차 정확</t>
  </si>
  <si>
    <t>문서 문맥 반영</t>
  </si>
  <si>
    <t>주요 단계 포함</t>
  </si>
  <si>
    <t>근거 없는 세부사항 금지</t>
  </si>
  <si>
    <t>문서 내·어려움</t>
  </si>
  <si>
    <t>다중 사실 모두 정확</t>
  </si>
  <si>
    <t>복수 근거 연결</t>
  </si>
  <si>
    <t>비교·예외까지 포함</t>
  </si>
  <si>
    <t>추론 범위를 넘지 않음</t>
  </si>
  <si>
    <t>답변 불가 판단</t>
  </si>
  <si>
    <t>문서에 없음 명시</t>
  </si>
  <si>
    <t>필요한 한계 설명</t>
  </si>
  <si>
    <t>수치·사실을 만들어내지 않음</t>
  </si>
  <si>
    <t>동점 처리</t>
  </si>
  <si>
    <t>더 짧고 정확한 답변 우선</t>
  </si>
  <si>
    <t>인용 페이지가 맞는 답변 우선</t>
  </si>
  <si>
    <t>질문 의도를 직접 충족</t>
  </si>
  <si>
    <t>추측이 적은 답변 우선</t>
  </si>
  <si>
    <t>CE1_2025_ko_KR.pdf</t>
  </si>
  <si>
    <t>CE1_2025_ko_KR.pdf</t>
    <phoneticPr fontId="8" type="noConversion"/>
  </si>
  <si>
    <t>CE1_2025_ko_KR.pdf</t>
    <phoneticPr fontId="8" type="noConversion"/>
  </si>
  <si>
    <t>CN7_2026_ko_KR.pdf</t>
  </si>
  <si>
    <t>CN7_2026_ko_KR.pdf</t>
    <phoneticPr fontId="8" type="noConversion"/>
  </si>
  <si>
    <t>CN7HEV_2026_ko_KR.pdf</t>
  </si>
  <si>
    <t>CN7HEV_2026_ko_KR.pdf</t>
    <phoneticPr fontId="8" type="noConversion"/>
  </si>
  <si>
    <t>NH2_2026_ko_KR.pdf</t>
  </si>
  <si>
    <t>NH2_2026_ko_KR.pdf</t>
    <phoneticPr fontId="8" type="noConversion"/>
  </si>
  <si>
    <t>NX4_2025_ko_KR.pdf</t>
  </si>
  <si>
    <t>NX4_2025_ko_KR.pdf</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</si>
</sst>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Carlito"/>
    </font>
    <font>
      <b/>
      <sz val="11"/>
      <color rgb="FFFFFFFF"/>
      <name val="Carlito"/>
    </font>
    <font>
      <sz val="10"/>
      <name val="Carlito"/>
    </font>
    <font>
      <b/>
      <sz val="18"/>
      <color rgb="FFFFFFFF"/>
      <name val="Carlito"/>
    </font>
    <font>
      <b/>
      <sz val="12"/>
      <color rgb="FFFFFFFF"/>
      <name val="Carlito"/>
    </font>
    <font>
      <b/>
      <sz val="11"/>
      <name val="Carlito"/>
    </font>
    <font>
      <b/>
      <sz val="17"/>
      <color rgb="FFFFFFFF"/>
      <name val="Carlito"/>
    </font>
    <font>
      <sz val="11"/>
      <name val="Carlito"/>
    </font>
    <font>
      <sz val="8"/>
      <name val="돋움"/>
      <family val="3"/>
      <charset val="129"/>
    </font>
  </fonts>
  <fills count="10">
    <fill>
      <patternFill patternType="none"/>
    </fill>
    <fill>
      <patternFill patternType="gray125"/>
    </fill>
    <fill>
      <patternFill patternType="solid">
        <fgColor rgb="FF1F4E78"/>
      </patternFill>
    </fill>
    <fill>
      <patternFill patternType="solid">
        <fgColor rgb="FF17365D"/>
      </patternFill>
    </fill>
    <fill>
      <patternFill patternType="solid">
        <fgColor rgb="FF5B9BD5"/>
      </patternFill>
    </fill>
    <fill>
      <patternFill patternType="solid">
        <fgColor rgb="FFD9EAF7"/>
      </patternFill>
    </fill>
    <fill>
      <patternFill patternType="solid">
        <fgColor rgb="FFC65911"/>
      </patternFill>
    </fill>
    <fill>
      <patternFill patternType="solid">
        <fgColor rgb="FF375623"/>
      </patternFill>
    </fill>
    <fill>
      <patternFill patternType="solid">
        <fgColor rgb="FFE2F0D9"/>
      </patternFill>
    </fill>
    <fill>
      <patternFill patternType="solid">
        <fgColor rgb="FFFFF2CC"/>
      </patternFill>
    </fill>
  </fills>
  <borders count="1">
    <border>
      <left/>
      <right/>
      <top/>
      <bottom/>
      <diagonal/>
    </border>
  </borders>
  <cellStyleXfs count="2">
    <xf numFmtId="0" fontId="0" fillId="0" borderId="0"/>
    <xf numFmtId="0" fontId="7" fillId="0" borderId="0"/>
  </cellStyleXfs>
  <cellXfs count="16">
    <xf numFmtId="0" fontId="0" fillId="0" borderId="0" xfId="0"/>
    <xf numFmtId="0" fontId="1" fillId="2" borderId="0" xfId="1" applyNumberFormat="1" applyFont="1" applyFill="1" applyBorder="1" applyAlignment="1">
      <alignment horizontal="center" vertical="center" wrapText="1"/>
    </xf>
    <xf numFmtId="0" fontId="2" fillId="0" borderId="0" xfId="1" applyNumberFormat="1" applyFont="1" applyFill="1" applyBorder="1" applyAlignment="1">
      <alignment horizontal="center" vertical="top" wrapText="1"/>
    </xf>
    <xf numFmtId="0" fontId="2" fillId="0" borderId="0" xfId="1" applyNumberFormat="1" applyFont="1" applyFill="1" applyBorder="1" applyAlignment="1">
      <alignment horizontal="left" vertical="top" wrapText="1"/>
    </xf>
    <xf numFmtId="0" fontId="0" fillId="0" borderId="0" xfId="1" applyNumberFormat="1" applyFont="1" applyFill="1" applyBorder="1" applyAlignment="1">
      <alignment vertical="center"/>
    </xf>
    <xf numFmtId="0" fontId="0" fillId="0" borderId="0" xfId="1" applyNumberFormat="1" applyFont="1" applyFill="1" applyBorder="1" applyAlignment="1">
      <alignment horizontal="center" vertical="center"/>
    </xf>
    <xf numFmtId="0" fontId="0" fillId="0" borderId="0" xfId="1" applyNumberFormat="1" applyFont="1" applyFill="1" applyBorder="1" applyAlignment="1">
      <alignment wrapText="1"/>
    </xf>
    <xf numFmtId="0" fontId="5" fillId="5" borderId="0" xfId="1" applyNumberFormat="1" applyFont="1" applyFill="1" applyBorder="1" applyAlignment="1">
      <alignment vertical="center" wrapText="1"/>
    </xf>
    <xf numFmtId="0" fontId="0" fillId="0" borderId="0" xfId="1" applyNumberFormat="1" applyFont="1" applyFill="1" applyBorder="1" applyAlignment="1">
      <alignment vertical="center" wrapText="1"/>
    </xf>
    <xf numFmtId="0" fontId="5" fillId="8" borderId="0" xfId="1" applyNumberFormat="1" applyFont="1" applyFill="1" applyBorder="1" applyAlignment="1">
      <alignment wrapText="1"/>
    </xf>
    <xf numFmtId="0" fontId="3" fillId="3" borderId="0" xfId="1" applyNumberFormat="1" applyFont="1" applyFill="1" applyBorder="1" applyAlignment="1">
      <alignment horizontal="center" vertical="center"/>
    </xf>
    <xf numFmtId="0" fontId="4" fillId="4" borderId="0" xfId="1" applyNumberFormat="1" applyFont="1" applyFill="1" applyBorder="1" applyAlignment="1">
      <alignment horizontal="left" vertical="center"/>
    </xf>
    <xf numFmtId="0" fontId="1" fillId="6" borderId="0" xfId="1" applyNumberFormat="1" applyFont="1" applyFill="1" applyBorder="1" applyAlignment="1">
      <alignment vertical="center"/>
    </xf>
    <xf numFmtId="0" fontId="0" fillId="0" borderId="0" xfId="1" applyNumberFormat="1" applyFont="1" applyFill="1" applyBorder="1" applyAlignment="1">
      <alignment horizontal="left" vertical="center" wrapText="1"/>
    </xf>
    <xf numFmtId="0" fontId="6" fillId="7" borderId="0" xfId="1" applyNumberFormat="1" applyFont="1" applyFill="1" applyBorder="1" applyAlignment="1">
      <alignment horizontal="center" vertical="center"/>
    </xf>
    <xf numFmtId="0" fontId="5" fillId="9" borderId="0" xfId="1" applyNumberFormat="1" applyFont="1" applyFill="1" applyBorder="1" applyAlignment="1">
      <alignment horizontal="center"/>
    </xf>
  </cellXfs>
  <cellStyles count="2">
    <cellStyle name="Normal" xfId="1"/>
    <cellStyle name="표준" xfId="0" builtinId="0"/>
  </cellStyles>
  <dxfs count="5">
    <dxf>
      <fill>
        <patternFill>
          <bgColor rgb="FFF4CCCC"/>
        </patternFill>
      </fill>
    </dxf>
    <dxf>
      <fill>
        <patternFill>
          <bgColor rgb="FFFFF2CC"/>
        </patternFill>
      </fill>
    </dxf>
    <dxf>
      <fill>
        <patternFill>
          <bgColor rgb="FFDDEBF7"/>
        </patternFill>
      </fill>
    </dxf>
    <dxf>
      <font>
        <color rgb="FF375623"/>
      </font>
      <fill>
        <patternFill>
          <bgColor rgb="FFE2F0D9"/>
        </patternFill>
      </fill>
    </dxf>
    <dxf>
      <font>
        <b/>
        <color rgb="FF9C0006"/>
      </font>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RAGQuestionAnswerTable" displayName="RAGQuestionAnswerTable" ref="A1:N101">
  <tableColumns count="14">
    <tableColumn id="1" name="ID"/>
    <tableColumn id="2" name="차량"/>
    <tableColumn id="3" name="차종 코드"/>
    <tableColumn id="4" name="동력원"/>
    <tableColumn id="5" name="답변 가능 여부"/>
    <tableColumn id="6" name="난이도"/>
    <tableColumn id="7" name="질문 유형"/>
    <tableColumn id="8" name="질문"/>
    <tableColumn id="9" name="모범답안"/>
    <tableColumn id="10" name="핵심 채점어"/>
    <tableColumn id="11" name="근거 PDF"/>
    <tableColumn id="12" name="근거 페이지(PDF)"/>
    <tableColumn id="13" name="근거 섹션"/>
    <tableColumn id="14" name="평가 초점"/>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1"/>
  <sheetViews>
    <sheetView tabSelected="1" topLeftCell="I94" workbookViewId="0">
      <selection activeCell="L105" sqref="L105"/>
    </sheetView>
  </sheetViews>
  <sheetFormatPr defaultRowHeight="14"/>
  <cols>
    <col min="1" max="1" width="7" customWidth="1"/>
    <col min="2" max="2" width="18" customWidth="1"/>
    <col min="3" max="3" width="12" customWidth="1"/>
    <col min="4" max="4" width="14" customWidth="1"/>
    <col min="5" max="5" width="15" customWidth="1"/>
    <col min="6" max="6" width="10" customWidth="1"/>
    <col min="7" max="7" width="15" customWidth="1"/>
    <col min="8" max="8" width="44" customWidth="1"/>
    <col min="9" max="9" width="54" customWidth="1"/>
    <col min="10" max="10" width="42" customWidth="1"/>
    <col min="11" max="11" width="27" customWidth="1"/>
    <col min="12" max="12" width="14" customWidth="1"/>
    <col min="13" max="13" width="31" customWidth="1"/>
    <col min="14" max="14" width="17" customWidth="1"/>
  </cols>
  <sheetData>
    <row r="1" spans="1:14" ht="21.4"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1.4" customHeight="1">
      <c r="A2" s="2">
        <v>1</v>
      </c>
      <c r="B2" s="2" t="s">
        <v>14</v>
      </c>
      <c r="C2" s="2" t="s">
        <v>15</v>
      </c>
      <c r="D2" s="2" t="s">
        <v>16</v>
      </c>
      <c r="E2" s="2" t="s">
        <v>17</v>
      </c>
      <c r="F2" s="2" t="s">
        <v>18</v>
      </c>
      <c r="G2" s="2" t="s">
        <v>19</v>
      </c>
      <c r="H2" s="3" t="s">
        <v>20</v>
      </c>
      <c r="I2" s="3" t="s">
        <v>21</v>
      </c>
      <c r="J2" s="3" t="s">
        <v>22</v>
      </c>
      <c r="K2" s="2" t="s">
        <v>583</v>
      </c>
      <c r="L2" s="2">
        <v>9</v>
      </c>
      <c r="M2" s="3" t="s">
        <v>23</v>
      </c>
      <c r="N2" s="3" t="s">
        <v>24</v>
      </c>
    </row>
    <row r="3" spans="1:14" ht="41.4" customHeight="1">
      <c r="A3" s="2">
        <v>2</v>
      </c>
      <c r="B3" s="2" t="s">
        <v>14</v>
      </c>
      <c r="C3" s="2" t="s">
        <v>15</v>
      </c>
      <c r="D3" s="2" t="s">
        <v>16</v>
      </c>
      <c r="E3" s="2" t="s">
        <v>17</v>
      </c>
      <c r="F3" s="2" t="s">
        <v>18</v>
      </c>
      <c r="G3" s="2" t="s">
        <v>24</v>
      </c>
      <c r="H3" s="3" t="s">
        <v>25</v>
      </c>
      <c r="I3" s="3" t="s">
        <v>26</v>
      </c>
      <c r="J3" s="3" t="s">
        <v>27</v>
      </c>
      <c r="K3" s="2" t="s">
        <v>584</v>
      </c>
      <c r="L3" s="2">
        <v>9</v>
      </c>
      <c r="M3" s="3" t="s">
        <v>28</v>
      </c>
      <c r="N3" s="3" t="s">
        <v>24</v>
      </c>
    </row>
    <row r="4" spans="1:14" ht="41.4" customHeight="1">
      <c r="A4" s="2">
        <v>3</v>
      </c>
      <c r="B4" s="2" t="s">
        <v>14</v>
      </c>
      <c r="C4" s="2" t="s">
        <v>15</v>
      </c>
      <c r="D4" s="2" t="s">
        <v>16</v>
      </c>
      <c r="E4" s="2" t="s">
        <v>17</v>
      </c>
      <c r="F4" s="2" t="s">
        <v>18</v>
      </c>
      <c r="G4" s="2" t="s">
        <v>29</v>
      </c>
      <c r="H4" s="3" t="s">
        <v>30</v>
      </c>
      <c r="I4" s="3" t="s">
        <v>31</v>
      </c>
      <c r="J4" s="3" t="s">
        <v>32</v>
      </c>
      <c r="K4" s="2" t="s">
        <v>583</v>
      </c>
      <c r="L4" s="2">
        <v>10</v>
      </c>
      <c r="M4" s="3" t="s">
        <v>33</v>
      </c>
      <c r="N4" s="3" t="s">
        <v>34</v>
      </c>
    </row>
    <row r="5" spans="1:14" ht="41.4" customHeight="1">
      <c r="A5" s="2">
        <v>4</v>
      </c>
      <c r="B5" s="2" t="s">
        <v>14</v>
      </c>
      <c r="C5" s="2" t="s">
        <v>15</v>
      </c>
      <c r="D5" s="2" t="s">
        <v>16</v>
      </c>
      <c r="E5" s="2" t="s">
        <v>17</v>
      </c>
      <c r="F5" s="2" t="s">
        <v>18</v>
      </c>
      <c r="G5" s="2" t="s">
        <v>29</v>
      </c>
      <c r="H5" s="3" t="s">
        <v>35</v>
      </c>
      <c r="I5" s="3" t="s">
        <v>36</v>
      </c>
      <c r="J5" s="3" t="s">
        <v>37</v>
      </c>
      <c r="K5" s="2" t="s">
        <v>582</v>
      </c>
      <c r="L5" s="2">
        <v>10</v>
      </c>
      <c r="M5" s="3" t="s">
        <v>33</v>
      </c>
      <c r="N5" s="3" t="s">
        <v>34</v>
      </c>
    </row>
    <row r="6" spans="1:14" ht="41.4" customHeight="1">
      <c r="A6" s="2">
        <v>5</v>
      </c>
      <c r="B6" s="2" t="s">
        <v>14</v>
      </c>
      <c r="C6" s="2" t="s">
        <v>15</v>
      </c>
      <c r="D6" s="2" t="s">
        <v>16</v>
      </c>
      <c r="E6" s="2" t="s">
        <v>17</v>
      </c>
      <c r="F6" s="2" t="s">
        <v>18</v>
      </c>
      <c r="G6" s="2" t="s">
        <v>38</v>
      </c>
      <c r="H6" s="3" t="s">
        <v>39</v>
      </c>
      <c r="I6" s="3" t="s">
        <v>40</v>
      </c>
      <c r="J6" s="3" t="s">
        <v>41</v>
      </c>
      <c r="K6" s="2" t="s">
        <v>582</v>
      </c>
      <c r="L6" s="2">
        <v>15</v>
      </c>
      <c r="M6" s="3" t="s">
        <v>42</v>
      </c>
      <c r="N6" s="3" t="s">
        <v>43</v>
      </c>
    </row>
    <row r="7" spans="1:14" ht="41.4" customHeight="1">
      <c r="A7" s="2">
        <v>6</v>
      </c>
      <c r="B7" s="2" t="s">
        <v>14</v>
      </c>
      <c r="C7" s="2" t="s">
        <v>15</v>
      </c>
      <c r="D7" s="2" t="s">
        <v>16</v>
      </c>
      <c r="E7" s="2" t="s">
        <v>17</v>
      </c>
      <c r="F7" s="2" t="s">
        <v>18</v>
      </c>
      <c r="G7" s="2" t="s">
        <v>44</v>
      </c>
      <c r="H7" s="3" t="s">
        <v>45</v>
      </c>
      <c r="I7" s="3" t="s">
        <v>46</v>
      </c>
      <c r="J7" s="3" t="s">
        <v>47</v>
      </c>
      <c r="K7" s="2" t="s">
        <v>582</v>
      </c>
      <c r="L7" s="2">
        <v>15</v>
      </c>
      <c r="M7" s="3" t="s">
        <v>48</v>
      </c>
      <c r="N7" s="3" t="s">
        <v>43</v>
      </c>
    </row>
    <row r="8" spans="1:14" ht="41.4" customHeight="1">
      <c r="A8" s="2">
        <v>7</v>
      </c>
      <c r="B8" s="2" t="s">
        <v>14</v>
      </c>
      <c r="C8" s="2" t="s">
        <v>15</v>
      </c>
      <c r="D8" s="2" t="s">
        <v>16</v>
      </c>
      <c r="E8" s="2" t="s">
        <v>17</v>
      </c>
      <c r="F8" s="2" t="s">
        <v>49</v>
      </c>
      <c r="G8" s="2" t="s">
        <v>50</v>
      </c>
      <c r="H8" s="3" t="s">
        <v>51</v>
      </c>
      <c r="I8" s="3" t="s">
        <v>52</v>
      </c>
      <c r="J8" s="3" t="s">
        <v>53</v>
      </c>
      <c r="K8" s="2" t="s">
        <v>582</v>
      </c>
      <c r="L8" s="2">
        <v>12</v>
      </c>
      <c r="M8" s="3" t="s">
        <v>54</v>
      </c>
      <c r="N8" s="3" t="s">
        <v>55</v>
      </c>
    </row>
    <row r="9" spans="1:14" ht="41.4" customHeight="1">
      <c r="A9" s="2">
        <v>8</v>
      </c>
      <c r="B9" s="2" t="s">
        <v>14</v>
      </c>
      <c r="C9" s="2" t="s">
        <v>15</v>
      </c>
      <c r="D9" s="2" t="s">
        <v>16</v>
      </c>
      <c r="E9" s="2" t="s">
        <v>17</v>
      </c>
      <c r="F9" s="2" t="s">
        <v>49</v>
      </c>
      <c r="G9" s="2" t="s">
        <v>56</v>
      </c>
      <c r="H9" s="3" t="s">
        <v>57</v>
      </c>
      <c r="I9" s="3" t="s">
        <v>58</v>
      </c>
      <c r="J9" s="3" t="s">
        <v>59</v>
      </c>
      <c r="K9" s="2" t="s">
        <v>582</v>
      </c>
      <c r="L9" s="2">
        <v>12</v>
      </c>
      <c r="M9" s="3" t="s">
        <v>54</v>
      </c>
      <c r="N9" s="3" t="s">
        <v>60</v>
      </c>
    </row>
    <row r="10" spans="1:14" ht="41.4" customHeight="1">
      <c r="A10" s="2">
        <v>9</v>
      </c>
      <c r="B10" s="2" t="s">
        <v>14</v>
      </c>
      <c r="C10" s="2" t="s">
        <v>15</v>
      </c>
      <c r="D10" s="2" t="s">
        <v>16</v>
      </c>
      <c r="E10" s="2" t="s">
        <v>17</v>
      </c>
      <c r="F10" s="2" t="s">
        <v>49</v>
      </c>
      <c r="G10" s="2" t="s">
        <v>61</v>
      </c>
      <c r="H10" s="3" t="s">
        <v>62</v>
      </c>
      <c r="I10" s="3" t="s">
        <v>63</v>
      </c>
      <c r="J10" s="3" t="s">
        <v>64</v>
      </c>
      <c r="K10" s="2" t="s">
        <v>582</v>
      </c>
      <c r="L10" s="2">
        <v>18</v>
      </c>
      <c r="M10" s="3" t="s">
        <v>65</v>
      </c>
      <c r="N10" s="3" t="s">
        <v>66</v>
      </c>
    </row>
    <row r="11" spans="1:14" ht="41.4" customHeight="1">
      <c r="A11" s="2">
        <v>10</v>
      </c>
      <c r="B11" s="2" t="s">
        <v>14</v>
      </c>
      <c r="C11" s="2" t="s">
        <v>15</v>
      </c>
      <c r="D11" s="2" t="s">
        <v>16</v>
      </c>
      <c r="E11" s="2" t="s">
        <v>17</v>
      </c>
      <c r="F11" s="2" t="s">
        <v>49</v>
      </c>
      <c r="G11" s="2" t="s">
        <v>67</v>
      </c>
      <c r="H11" s="3" t="s">
        <v>68</v>
      </c>
      <c r="I11" s="3" t="s">
        <v>69</v>
      </c>
      <c r="J11" s="3" t="s">
        <v>70</v>
      </c>
      <c r="K11" s="2" t="s">
        <v>582</v>
      </c>
      <c r="L11" s="2">
        <v>18</v>
      </c>
      <c r="M11" s="3" t="s">
        <v>71</v>
      </c>
      <c r="N11" s="3" t="s">
        <v>72</v>
      </c>
    </row>
    <row r="12" spans="1:14" ht="41.4" customHeight="1">
      <c r="A12" s="2">
        <v>11</v>
      </c>
      <c r="B12" s="2" t="s">
        <v>14</v>
      </c>
      <c r="C12" s="2" t="s">
        <v>15</v>
      </c>
      <c r="D12" s="2" t="s">
        <v>16</v>
      </c>
      <c r="E12" s="2" t="s">
        <v>17</v>
      </c>
      <c r="F12" s="2" t="s">
        <v>49</v>
      </c>
      <c r="G12" s="2" t="s">
        <v>73</v>
      </c>
      <c r="H12" s="3" t="s">
        <v>74</v>
      </c>
      <c r="I12" s="3" t="s">
        <v>75</v>
      </c>
      <c r="J12" s="3" t="s">
        <v>76</v>
      </c>
      <c r="K12" s="2" t="s">
        <v>582</v>
      </c>
      <c r="L12" s="2">
        <v>10</v>
      </c>
      <c r="M12" s="3" t="s">
        <v>33</v>
      </c>
      <c r="N12" s="3" t="s">
        <v>77</v>
      </c>
    </row>
    <row r="13" spans="1:14" ht="41.4" customHeight="1">
      <c r="A13" s="2">
        <v>12</v>
      </c>
      <c r="B13" s="2" t="s">
        <v>14</v>
      </c>
      <c r="C13" s="2" t="s">
        <v>15</v>
      </c>
      <c r="D13" s="2" t="s">
        <v>16</v>
      </c>
      <c r="E13" s="2" t="s">
        <v>17</v>
      </c>
      <c r="F13" s="2" t="s">
        <v>49</v>
      </c>
      <c r="G13" s="2" t="s">
        <v>78</v>
      </c>
      <c r="H13" s="3" t="s">
        <v>79</v>
      </c>
      <c r="I13" s="3" t="s">
        <v>80</v>
      </c>
      <c r="J13" s="3" t="s">
        <v>81</v>
      </c>
      <c r="K13" s="2" t="s">
        <v>582</v>
      </c>
      <c r="L13" s="2">
        <v>13</v>
      </c>
      <c r="M13" s="3" t="s">
        <v>82</v>
      </c>
      <c r="N13" s="3" t="s">
        <v>83</v>
      </c>
    </row>
    <row r="14" spans="1:14" ht="41.4" customHeight="1">
      <c r="A14" s="2">
        <v>13</v>
      </c>
      <c r="B14" s="2" t="s">
        <v>14</v>
      </c>
      <c r="C14" s="2" t="s">
        <v>15</v>
      </c>
      <c r="D14" s="2" t="s">
        <v>16</v>
      </c>
      <c r="E14" s="2" t="s">
        <v>17</v>
      </c>
      <c r="F14" s="2" t="s">
        <v>84</v>
      </c>
      <c r="G14" s="2" t="s">
        <v>85</v>
      </c>
      <c r="H14" s="3" t="s">
        <v>86</v>
      </c>
      <c r="I14" s="3" t="s">
        <v>87</v>
      </c>
      <c r="J14" s="3" t="s">
        <v>88</v>
      </c>
      <c r="K14" s="2" t="s">
        <v>582</v>
      </c>
      <c r="L14" s="2">
        <v>15</v>
      </c>
      <c r="M14" s="3" t="s">
        <v>42</v>
      </c>
      <c r="N14" s="3" t="s">
        <v>89</v>
      </c>
    </row>
    <row r="15" spans="1:14" ht="41.4" customHeight="1">
      <c r="A15" s="2">
        <v>14</v>
      </c>
      <c r="B15" s="2" t="s">
        <v>14</v>
      </c>
      <c r="C15" s="2" t="s">
        <v>15</v>
      </c>
      <c r="D15" s="2" t="s">
        <v>16</v>
      </c>
      <c r="E15" s="2" t="s">
        <v>17</v>
      </c>
      <c r="F15" s="2" t="s">
        <v>84</v>
      </c>
      <c r="G15" s="2" t="s">
        <v>90</v>
      </c>
      <c r="H15" s="3" t="s">
        <v>91</v>
      </c>
      <c r="I15" s="3" t="s">
        <v>92</v>
      </c>
      <c r="J15" s="3" t="s">
        <v>93</v>
      </c>
      <c r="K15" s="2" t="s">
        <v>582</v>
      </c>
      <c r="L15" s="2">
        <v>328</v>
      </c>
      <c r="M15" s="3" t="s">
        <v>94</v>
      </c>
      <c r="N15" s="3" t="s">
        <v>95</v>
      </c>
    </row>
    <row r="16" spans="1:14" ht="41.4" customHeight="1">
      <c r="A16" s="2">
        <v>15</v>
      </c>
      <c r="B16" s="2" t="s">
        <v>14</v>
      </c>
      <c r="C16" s="2" t="s">
        <v>15</v>
      </c>
      <c r="D16" s="2" t="s">
        <v>16</v>
      </c>
      <c r="E16" s="2" t="s">
        <v>17</v>
      </c>
      <c r="F16" s="2" t="s">
        <v>84</v>
      </c>
      <c r="G16" s="2" t="s">
        <v>96</v>
      </c>
      <c r="H16" s="3" t="s">
        <v>97</v>
      </c>
      <c r="I16" s="3" t="s">
        <v>98</v>
      </c>
      <c r="J16" s="3" t="s">
        <v>99</v>
      </c>
      <c r="K16" s="2" t="s">
        <v>582</v>
      </c>
      <c r="L16" s="2">
        <v>328</v>
      </c>
      <c r="M16" s="3" t="s">
        <v>100</v>
      </c>
      <c r="N16" s="3" t="s">
        <v>101</v>
      </c>
    </row>
    <row r="17" spans="1:14" ht="41.4" customHeight="1">
      <c r="A17" s="2">
        <v>16</v>
      </c>
      <c r="B17" s="2" t="s">
        <v>14</v>
      </c>
      <c r="C17" s="2" t="s">
        <v>15</v>
      </c>
      <c r="D17" s="2" t="s">
        <v>16</v>
      </c>
      <c r="E17" s="2" t="s">
        <v>17</v>
      </c>
      <c r="F17" s="2" t="s">
        <v>84</v>
      </c>
      <c r="G17" s="2" t="s">
        <v>102</v>
      </c>
      <c r="H17" s="3" t="s">
        <v>103</v>
      </c>
      <c r="I17" s="3" t="s">
        <v>104</v>
      </c>
      <c r="J17" s="3" t="s">
        <v>105</v>
      </c>
      <c r="K17" s="2" t="s">
        <v>582</v>
      </c>
      <c r="L17" s="2">
        <v>11</v>
      </c>
      <c r="M17" s="3" t="s">
        <v>106</v>
      </c>
      <c r="N17" s="3" t="s">
        <v>107</v>
      </c>
    </row>
    <row r="18" spans="1:14" ht="41.4" customHeight="1">
      <c r="A18" s="2">
        <v>17</v>
      </c>
      <c r="B18" s="2" t="s">
        <v>14</v>
      </c>
      <c r="C18" s="2" t="s">
        <v>15</v>
      </c>
      <c r="D18" s="2" t="s">
        <v>16</v>
      </c>
      <c r="E18" s="2" t="s">
        <v>108</v>
      </c>
      <c r="F18" s="2" t="s">
        <v>49</v>
      </c>
      <c r="G18" s="2" t="s">
        <v>108</v>
      </c>
      <c r="H18" s="3" t="s">
        <v>109</v>
      </c>
      <c r="I18" s="3" t="s">
        <v>110</v>
      </c>
      <c r="J18" s="3" t="s">
        <v>111</v>
      </c>
      <c r="K18" s="2"/>
      <c r="L18" s="2"/>
      <c r="M18" s="3"/>
      <c r="N18" s="3" t="s">
        <v>112</v>
      </c>
    </row>
    <row r="19" spans="1:14" ht="41.4" customHeight="1">
      <c r="A19" s="2">
        <v>18</v>
      </c>
      <c r="B19" s="2" t="s">
        <v>14</v>
      </c>
      <c r="C19" s="2" t="s">
        <v>15</v>
      </c>
      <c r="D19" s="2" t="s">
        <v>16</v>
      </c>
      <c r="E19" s="2" t="s">
        <v>108</v>
      </c>
      <c r="F19" s="2" t="s">
        <v>49</v>
      </c>
      <c r="G19" s="2" t="s">
        <v>108</v>
      </c>
      <c r="H19" s="3" t="s">
        <v>113</v>
      </c>
      <c r="I19" s="3" t="s">
        <v>114</v>
      </c>
      <c r="J19" s="3" t="s">
        <v>115</v>
      </c>
      <c r="K19" s="2"/>
      <c r="L19" s="2"/>
      <c r="M19" s="3"/>
      <c r="N19" s="3" t="s">
        <v>112</v>
      </c>
    </row>
    <row r="20" spans="1:14" ht="41.4" customHeight="1">
      <c r="A20" s="2">
        <v>19</v>
      </c>
      <c r="B20" s="2" t="s">
        <v>14</v>
      </c>
      <c r="C20" s="2" t="s">
        <v>15</v>
      </c>
      <c r="D20" s="2" t="s">
        <v>16</v>
      </c>
      <c r="E20" s="2" t="s">
        <v>108</v>
      </c>
      <c r="F20" s="2" t="s">
        <v>84</v>
      </c>
      <c r="G20" s="2" t="s">
        <v>108</v>
      </c>
      <c r="H20" s="3" t="s">
        <v>116</v>
      </c>
      <c r="I20" s="3" t="s">
        <v>117</v>
      </c>
      <c r="J20" s="3" t="s">
        <v>118</v>
      </c>
      <c r="K20" s="2"/>
      <c r="L20" s="2"/>
      <c r="M20" s="3"/>
      <c r="N20" s="3" t="s">
        <v>112</v>
      </c>
    </row>
    <row r="21" spans="1:14" ht="41.4" customHeight="1">
      <c r="A21" s="2">
        <v>20</v>
      </c>
      <c r="B21" s="2" t="s">
        <v>14</v>
      </c>
      <c r="C21" s="2" t="s">
        <v>15</v>
      </c>
      <c r="D21" s="2" t="s">
        <v>16</v>
      </c>
      <c r="E21" s="2" t="s">
        <v>108</v>
      </c>
      <c r="F21" s="2" t="s">
        <v>84</v>
      </c>
      <c r="G21" s="2" t="s">
        <v>108</v>
      </c>
      <c r="H21" s="3" t="s">
        <v>119</v>
      </c>
      <c r="I21" s="3" t="s">
        <v>120</v>
      </c>
      <c r="J21" s="3" t="s">
        <v>121</v>
      </c>
      <c r="K21" s="2"/>
      <c r="L21" s="2"/>
      <c r="M21" s="3"/>
      <c r="N21" s="3" t="s">
        <v>112</v>
      </c>
    </row>
    <row r="22" spans="1:14" ht="41.4" customHeight="1">
      <c r="A22" s="2">
        <v>21</v>
      </c>
      <c r="B22" s="2" t="s">
        <v>122</v>
      </c>
      <c r="C22" s="2" t="s">
        <v>123</v>
      </c>
      <c r="D22" s="2" t="s">
        <v>124</v>
      </c>
      <c r="E22" s="2" t="s">
        <v>17</v>
      </c>
      <c r="F22" s="2" t="s">
        <v>18</v>
      </c>
      <c r="G22" s="2" t="s">
        <v>125</v>
      </c>
      <c r="H22" s="3" t="s">
        <v>126</v>
      </c>
      <c r="I22" s="3" t="s">
        <v>127</v>
      </c>
      <c r="J22" s="3" t="s">
        <v>128</v>
      </c>
      <c r="K22" s="2" t="s">
        <v>586</v>
      </c>
      <c r="L22" s="2">
        <v>1</v>
      </c>
      <c r="M22" s="3" t="s">
        <v>129</v>
      </c>
      <c r="N22" s="3" t="s">
        <v>24</v>
      </c>
    </row>
    <row r="23" spans="1:14" ht="41.4" customHeight="1">
      <c r="A23" s="2">
        <v>22</v>
      </c>
      <c r="B23" s="2" t="s">
        <v>122</v>
      </c>
      <c r="C23" s="2" t="s">
        <v>123</v>
      </c>
      <c r="D23" s="2" t="s">
        <v>124</v>
      </c>
      <c r="E23" s="2" t="s">
        <v>17</v>
      </c>
      <c r="F23" s="2" t="s">
        <v>18</v>
      </c>
      <c r="G23" s="2" t="s">
        <v>130</v>
      </c>
      <c r="H23" s="3" t="s">
        <v>131</v>
      </c>
      <c r="I23" s="3" t="s">
        <v>132</v>
      </c>
      <c r="J23" s="3" t="s">
        <v>133</v>
      </c>
      <c r="K23" s="2" t="s">
        <v>586</v>
      </c>
      <c r="L23" s="2">
        <v>94</v>
      </c>
      <c r="M23" s="3" t="s">
        <v>134</v>
      </c>
      <c r="N23" s="3" t="s">
        <v>135</v>
      </c>
    </row>
    <row r="24" spans="1:14" ht="41.4" customHeight="1">
      <c r="A24" s="2">
        <v>23</v>
      </c>
      <c r="B24" s="2" t="s">
        <v>122</v>
      </c>
      <c r="C24" s="2" t="s">
        <v>123</v>
      </c>
      <c r="D24" s="2" t="s">
        <v>124</v>
      </c>
      <c r="E24" s="2" t="s">
        <v>17</v>
      </c>
      <c r="F24" s="2" t="s">
        <v>18</v>
      </c>
      <c r="G24" s="2" t="s">
        <v>136</v>
      </c>
      <c r="H24" s="3" t="s">
        <v>137</v>
      </c>
      <c r="I24" s="3" t="s">
        <v>138</v>
      </c>
      <c r="J24" s="3" t="s">
        <v>139</v>
      </c>
      <c r="K24" s="2" t="s">
        <v>585</v>
      </c>
      <c r="L24" s="2">
        <v>124</v>
      </c>
      <c r="M24" s="3" t="s">
        <v>140</v>
      </c>
      <c r="N24" s="3" t="s">
        <v>24</v>
      </c>
    </row>
    <row r="25" spans="1:14" ht="41.4" customHeight="1">
      <c r="A25" s="2">
        <v>24</v>
      </c>
      <c r="B25" s="2" t="s">
        <v>122</v>
      </c>
      <c r="C25" s="2" t="s">
        <v>123</v>
      </c>
      <c r="D25" s="2" t="s">
        <v>124</v>
      </c>
      <c r="E25" s="2" t="s">
        <v>17</v>
      </c>
      <c r="F25" s="2" t="s">
        <v>18</v>
      </c>
      <c r="G25" s="2" t="s">
        <v>141</v>
      </c>
      <c r="H25" s="3" t="s">
        <v>142</v>
      </c>
      <c r="I25" s="3" t="s">
        <v>143</v>
      </c>
      <c r="J25" s="3" t="s">
        <v>144</v>
      </c>
      <c r="K25" s="2" t="s">
        <v>585</v>
      </c>
      <c r="L25" s="2">
        <v>136</v>
      </c>
      <c r="M25" s="3" t="s">
        <v>145</v>
      </c>
      <c r="N25" s="3" t="s">
        <v>146</v>
      </c>
    </row>
    <row r="26" spans="1:14" ht="41.4" customHeight="1">
      <c r="A26" s="2">
        <v>25</v>
      </c>
      <c r="B26" s="2" t="s">
        <v>122</v>
      </c>
      <c r="C26" s="2" t="s">
        <v>123</v>
      </c>
      <c r="D26" s="2" t="s">
        <v>124</v>
      </c>
      <c r="E26" s="2" t="s">
        <v>17</v>
      </c>
      <c r="F26" s="2" t="s">
        <v>18</v>
      </c>
      <c r="G26" s="2" t="s">
        <v>147</v>
      </c>
      <c r="H26" s="3" t="s">
        <v>148</v>
      </c>
      <c r="I26" s="3" t="s">
        <v>149</v>
      </c>
      <c r="J26" s="3" t="s">
        <v>150</v>
      </c>
      <c r="K26" s="2" t="s">
        <v>585</v>
      </c>
      <c r="L26" s="2">
        <v>89</v>
      </c>
      <c r="M26" s="3" t="s">
        <v>151</v>
      </c>
      <c r="N26" s="3" t="s">
        <v>152</v>
      </c>
    </row>
    <row r="27" spans="1:14" ht="41.4" customHeight="1">
      <c r="A27" s="2">
        <v>26</v>
      </c>
      <c r="B27" s="2" t="s">
        <v>122</v>
      </c>
      <c r="C27" s="2" t="s">
        <v>123</v>
      </c>
      <c r="D27" s="2" t="s">
        <v>124</v>
      </c>
      <c r="E27" s="2" t="s">
        <v>17</v>
      </c>
      <c r="F27" s="2" t="s">
        <v>18</v>
      </c>
      <c r="G27" s="2" t="s">
        <v>153</v>
      </c>
      <c r="H27" s="3" t="s">
        <v>154</v>
      </c>
      <c r="I27" s="3" t="s">
        <v>155</v>
      </c>
      <c r="J27" s="3" t="s">
        <v>156</v>
      </c>
      <c r="K27" s="2" t="s">
        <v>585</v>
      </c>
      <c r="L27" s="2">
        <v>96</v>
      </c>
      <c r="M27" s="3" t="s">
        <v>157</v>
      </c>
      <c r="N27" s="3" t="s">
        <v>24</v>
      </c>
    </row>
    <row r="28" spans="1:14" ht="41.4" customHeight="1">
      <c r="A28" s="2">
        <v>27</v>
      </c>
      <c r="B28" s="2" t="s">
        <v>122</v>
      </c>
      <c r="C28" s="2" t="s">
        <v>123</v>
      </c>
      <c r="D28" s="2" t="s">
        <v>124</v>
      </c>
      <c r="E28" s="2" t="s">
        <v>17</v>
      </c>
      <c r="F28" s="2" t="s">
        <v>49</v>
      </c>
      <c r="G28" s="2" t="s">
        <v>158</v>
      </c>
      <c r="H28" s="3" t="s">
        <v>159</v>
      </c>
      <c r="I28" s="3" t="s">
        <v>160</v>
      </c>
      <c r="J28" s="3" t="s">
        <v>161</v>
      </c>
      <c r="K28" s="2" t="s">
        <v>585</v>
      </c>
      <c r="L28" s="2">
        <v>244</v>
      </c>
      <c r="M28" s="3" t="s">
        <v>162</v>
      </c>
      <c r="N28" s="3" t="s">
        <v>163</v>
      </c>
    </row>
    <row r="29" spans="1:14" ht="41.4" customHeight="1">
      <c r="A29" s="2">
        <v>28</v>
      </c>
      <c r="B29" s="2" t="s">
        <v>122</v>
      </c>
      <c r="C29" s="2" t="s">
        <v>123</v>
      </c>
      <c r="D29" s="2" t="s">
        <v>124</v>
      </c>
      <c r="E29" s="2" t="s">
        <v>17</v>
      </c>
      <c r="F29" s="2" t="s">
        <v>49</v>
      </c>
      <c r="G29" s="2" t="s">
        <v>164</v>
      </c>
      <c r="H29" s="3" t="s">
        <v>165</v>
      </c>
      <c r="I29" s="3" t="s">
        <v>166</v>
      </c>
      <c r="J29" s="3" t="s">
        <v>167</v>
      </c>
      <c r="K29" s="2" t="s">
        <v>585</v>
      </c>
      <c r="L29" s="2">
        <v>245</v>
      </c>
      <c r="M29" s="3" t="s">
        <v>168</v>
      </c>
      <c r="N29" s="3" t="s">
        <v>169</v>
      </c>
    </row>
    <row r="30" spans="1:14" ht="41.4" customHeight="1">
      <c r="A30" s="2">
        <v>29</v>
      </c>
      <c r="B30" s="2" t="s">
        <v>122</v>
      </c>
      <c r="C30" s="2" t="s">
        <v>123</v>
      </c>
      <c r="D30" s="2" t="s">
        <v>124</v>
      </c>
      <c r="E30" s="2" t="s">
        <v>17</v>
      </c>
      <c r="F30" s="2" t="s">
        <v>49</v>
      </c>
      <c r="G30" s="2" t="s">
        <v>170</v>
      </c>
      <c r="H30" s="3" t="s">
        <v>171</v>
      </c>
      <c r="I30" s="3" t="s">
        <v>172</v>
      </c>
      <c r="J30" s="3" t="s">
        <v>173</v>
      </c>
      <c r="K30" s="2" t="s">
        <v>585</v>
      </c>
      <c r="L30" s="2">
        <v>245</v>
      </c>
      <c r="M30" s="3" t="s">
        <v>168</v>
      </c>
      <c r="N30" s="3" t="s">
        <v>174</v>
      </c>
    </row>
    <row r="31" spans="1:14" ht="41.4" customHeight="1">
      <c r="A31" s="2">
        <v>30</v>
      </c>
      <c r="B31" s="2" t="s">
        <v>122</v>
      </c>
      <c r="C31" s="2" t="s">
        <v>123</v>
      </c>
      <c r="D31" s="2" t="s">
        <v>124</v>
      </c>
      <c r="E31" s="2" t="s">
        <v>17</v>
      </c>
      <c r="F31" s="2" t="s">
        <v>49</v>
      </c>
      <c r="G31" s="2" t="s">
        <v>175</v>
      </c>
      <c r="H31" s="3" t="s">
        <v>176</v>
      </c>
      <c r="I31" s="3" t="s">
        <v>177</v>
      </c>
      <c r="J31" s="3" t="s">
        <v>178</v>
      </c>
      <c r="K31" s="2" t="s">
        <v>585</v>
      </c>
      <c r="L31" s="2">
        <v>332</v>
      </c>
      <c r="M31" s="3" t="s">
        <v>179</v>
      </c>
      <c r="N31" s="3" t="s">
        <v>180</v>
      </c>
    </row>
    <row r="32" spans="1:14" ht="41.4" customHeight="1">
      <c r="A32" s="2">
        <v>31</v>
      </c>
      <c r="B32" s="2" t="s">
        <v>122</v>
      </c>
      <c r="C32" s="2" t="s">
        <v>123</v>
      </c>
      <c r="D32" s="2" t="s">
        <v>124</v>
      </c>
      <c r="E32" s="2" t="s">
        <v>17</v>
      </c>
      <c r="F32" s="2" t="s">
        <v>49</v>
      </c>
      <c r="G32" s="2" t="s">
        <v>175</v>
      </c>
      <c r="H32" s="3" t="s">
        <v>181</v>
      </c>
      <c r="I32" s="3" t="s">
        <v>182</v>
      </c>
      <c r="J32" s="3" t="s">
        <v>183</v>
      </c>
      <c r="K32" s="2" t="s">
        <v>585</v>
      </c>
      <c r="L32" s="2">
        <v>328</v>
      </c>
      <c r="M32" s="3" t="s">
        <v>184</v>
      </c>
      <c r="N32" s="3" t="s">
        <v>185</v>
      </c>
    </row>
    <row r="33" spans="1:14" ht="41.4" customHeight="1">
      <c r="A33" s="2">
        <v>32</v>
      </c>
      <c r="B33" s="2" t="s">
        <v>122</v>
      </c>
      <c r="C33" s="2" t="s">
        <v>123</v>
      </c>
      <c r="D33" s="2" t="s">
        <v>124</v>
      </c>
      <c r="E33" s="2" t="s">
        <v>17</v>
      </c>
      <c r="F33" s="2" t="s">
        <v>49</v>
      </c>
      <c r="G33" s="2" t="s">
        <v>186</v>
      </c>
      <c r="H33" s="3" t="s">
        <v>187</v>
      </c>
      <c r="I33" s="3" t="s">
        <v>188</v>
      </c>
      <c r="J33" s="3" t="s">
        <v>189</v>
      </c>
      <c r="K33" s="2" t="s">
        <v>585</v>
      </c>
      <c r="L33" s="2">
        <v>264</v>
      </c>
      <c r="M33" s="3" t="s">
        <v>190</v>
      </c>
      <c r="N33" s="3" t="s">
        <v>191</v>
      </c>
    </row>
    <row r="34" spans="1:14" ht="41.4" customHeight="1">
      <c r="A34" s="2">
        <v>33</v>
      </c>
      <c r="B34" s="2" t="s">
        <v>122</v>
      </c>
      <c r="C34" s="2" t="s">
        <v>123</v>
      </c>
      <c r="D34" s="2" t="s">
        <v>124</v>
      </c>
      <c r="E34" s="2" t="s">
        <v>17</v>
      </c>
      <c r="F34" s="2" t="s">
        <v>84</v>
      </c>
      <c r="G34" s="2" t="s">
        <v>192</v>
      </c>
      <c r="H34" s="3" t="s">
        <v>193</v>
      </c>
      <c r="I34" s="3" t="s">
        <v>194</v>
      </c>
      <c r="J34" s="3" t="s">
        <v>195</v>
      </c>
      <c r="K34" s="2" t="s">
        <v>585</v>
      </c>
      <c r="L34" s="2">
        <v>316</v>
      </c>
      <c r="M34" s="3" t="s">
        <v>196</v>
      </c>
      <c r="N34" s="3" t="s">
        <v>197</v>
      </c>
    </row>
    <row r="35" spans="1:14" ht="41.4" customHeight="1">
      <c r="A35" s="2">
        <v>34</v>
      </c>
      <c r="B35" s="2" t="s">
        <v>122</v>
      </c>
      <c r="C35" s="2" t="s">
        <v>123</v>
      </c>
      <c r="D35" s="2" t="s">
        <v>124</v>
      </c>
      <c r="E35" s="2" t="s">
        <v>17</v>
      </c>
      <c r="F35" s="2" t="s">
        <v>84</v>
      </c>
      <c r="G35" s="2" t="s">
        <v>198</v>
      </c>
      <c r="H35" s="3" t="s">
        <v>199</v>
      </c>
      <c r="I35" s="3" t="s">
        <v>200</v>
      </c>
      <c r="J35" s="3" t="s">
        <v>201</v>
      </c>
      <c r="K35" s="2" t="s">
        <v>585</v>
      </c>
      <c r="L35" s="2">
        <v>396</v>
      </c>
      <c r="M35" s="3" t="s">
        <v>202</v>
      </c>
      <c r="N35" s="3" t="s">
        <v>72</v>
      </c>
    </row>
    <row r="36" spans="1:14" ht="41.4" customHeight="1">
      <c r="A36" s="2">
        <v>35</v>
      </c>
      <c r="B36" s="2" t="s">
        <v>122</v>
      </c>
      <c r="C36" s="2" t="s">
        <v>123</v>
      </c>
      <c r="D36" s="2" t="s">
        <v>124</v>
      </c>
      <c r="E36" s="2" t="s">
        <v>17</v>
      </c>
      <c r="F36" s="2" t="s">
        <v>84</v>
      </c>
      <c r="G36" s="2" t="s">
        <v>203</v>
      </c>
      <c r="H36" s="3" t="s">
        <v>204</v>
      </c>
      <c r="I36" s="3" t="s">
        <v>205</v>
      </c>
      <c r="J36" s="3" t="s">
        <v>206</v>
      </c>
      <c r="K36" s="2" t="s">
        <v>585</v>
      </c>
      <c r="L36" s="2">
        <v>89</v>
      </c>
      <c r="M36" s="3" t="s">
        <v>207</v>
      </c>
      <c r="N36" s="3" t="s">
        <v>208</v>
      </c>
    </row>
    <row r="37" spans="1:14" ht="41.4" customHeight="1">
      <c r="A37" s="2">
        <v>36</v>
      </c>
      <c r="B37" s="2" t="s">
        <v>122</v>
      </c>
      <c r="C37" s="2" t="s">
        <v>123</v>
      </c>
      <c r="D37" s="2" t="s">
        <v>124</v>
      </c>
      <c r="E37" s="2" t="s">
        <v>17</v>
      </c>
      <c r="F37" s="2" t="s">
        <v>84</v>
      </c>
      <c r="G37" s="2" t="s">
        <v>50</v>
      </c>
      <c r="H37" s="3" t="s">
        <v>209</v>
      </c>
      <c r="I37" s="3" t="s">
        <v>210</v>
      </c>
      <c r="J37" s="3" t="s">
        <v>211</v>
      </c>
      <c r="K37" s="2" t="s">
        <v>585</v>
      </c>
      <c r="L37" s="2">
        <v>228</v>
      </c>
      <c r="M37" s="3" t="s">
        <v>212</v>
      </c>
      <c r="N37" s="3" t="s">
        <v>213</v>
      </c>
    </row>
    <row r="38" spans="1:14" ht="41.4" customHeight="1">
      <c r="A38" s="2">
        <v>37</v>
      </c>
      <c r="B38" s="2" t="s">
        <v>122</v>
      </c>
      <c r="C38" s="2" t="s">
        <v>123</v>
      </c>
      <c r="D38" s="2" t="s">
        <v>124</v>
      </c>
      <c r="E38" s="2" t="s">
        <v>108</v>
      </c>
      <c r="F38" s="2" t="s">
        <v>49</v>
      </c>
      <c r="G38" s="2" t="s">
        <v>108</v>
      </c>
      <c r="H38" s="3" t="s">
        <v>214</v>
      </c>
      <c r="I38" s="3" t="s">
        <v>215</v>
      </c>
      <c r="J38" s="3" t="s">
        <v>216</v>
      </c>
      <c r="K38" s="2"/>
      <c r="L38" s="2"/>
      <c r="M38" s="3"/>
      <c r="N38" s="3" t="s">
        <v>112</v>
      </c>
    </row>
    <row r="39" spans="1:14" ht="41.4" customHeight="1">
      <c r="A39" s="2">
        <v>38</v>
      </c>
      <c r="B39" s="2" t="s">
        <v>122</v>
      </c>
      <c r="C39" s="2" t="s">
        <v>123</v>
      </c>
      <c r="D39" s="2" t="s">
        <v>124</v>
      </c>
      <c r="E39" s="2" t="s">
        <v>108</v>
      </c>
      <c r="F39" s="2" t="s">
        <v>49</v>
      </c>
      <c r="G39" s="2" t="s">
        <v>108</v>
      </c>
      <c r="H39" s="3" t="s">
        <v>217</v>
      </c>
      <c r="I39" s="3" t="s">
        <v>218</v>
      </c>
      <c r="J39" s="3" t="s">
        <v>219</v>
      </c>
      <c r="K39" s="2"/>
      <c r="L39" s="2"/>
      <c r="M39" s="3"/>
      <c r="N39" s="3" t="s">
        <v>112</v>
      </c>
    </row>
    <row r="40" spans="1:14" ht="41.4" customHeight="1">
      <c r="A40" s="2">
        <v>39</v>
      </c>
      <c r="B40" s="2" t="s">
        <v>122</v>
      </c>
      <c r="C40" s="2" t="s">
        <v>123</v>
      </c>
      <c r="D40" s="2" t="s">
        <v>124</v>
      </c>
      <c r="E40" s="2" t="s">
        <v>108</v>
      </c>
      <c r="F40" s="2" t="s">
        <v>84</v>
      </c>
      <c r="G40" s="2" t="s">
        <v>108</v>
      </c>
      <c r="H40" s="3" t="s">
        <v>220</v>
      </c>
      <c r="I40" s="3" t="s">
        <v>221</v>
      </c>
      <c r="J40" s="3" t="s">
        <v>222</v>
      </c>
      <c r="K40" s="2"/>
      <c r="L40" s="2"/>
      <c r="M40" s="3"/>
      <c r="N40" s="3" t="s">
        <v>112</v>
      </c>
    </row>
    <row r="41" spans="1:14" ht="41.4" customHeight="1">
      <c r="A41" s="2">
        <v>40</v>
      </c>
      <c r="B41" s="2" t="s">
        <v>122</v>
      </c>
      <c r="C41" s="2" t="s">
        <v>123</v>
      </c>
      <c r="D41" s="2" t="s">
        <v>124</v>
      </c>
      <c r="E41" s="2" t="s">
        <v>108</v>
      </c>
      <c r="F41" s="2" t="s">
        <v>84</v>
      </c>
      <c r="G41" s="2" t="s">
        <v>108</v>
      </c>
      <c r="H41" s="3" t="s">
        <v>223</v>
      </c>
      <c r="I41" s="3" t="s">
        <v>224</v>
      </c>
      <c r="J41" s="3" t="s">
        <v>225</v>
      </c>
      <c r="K41" s="2"/>
      <c r="L41" s="2"/>
      <c r="M41" s="3"/>
      <c r="N41" s="3" t="s">
        <v>112</v>
      </c>
    </row>
    <row r="42" spans="1:14" ht="41.4" customHeight="1">
      <c r="A42" s="2">
        <v>41</v>
      </c>
      <c r="B42" s="2" t="s">
        <v>226</v>
      </c>
      <c r="C42" s="2" t="s">
        <v>227</v>
      </c>
      <c r="D42" s="2" t="s">
        <v>228</v>
      </c>
      <c r="E42" s="2" t="s">
        <v>17</v>
      </c>
      <c r="F42" s="2" t="s">
        <v>18</v>
      </c>
      <c r="G42" s="2" t="s">
        <v>19</v>
      </c>
      <c r="H42" s="3" t="s">
        <v>229</v>
      </c>
      <c r="I42" s="3" t="s">
        <v>230</v>
      </c>
      <c r="J42" s="3" t="s">
        <v>231</v>
      </c>
      <c r="K42" s="2" t="s">
        <v>588</v>
      </c>
      <c r="L42" s="2">
        <v>6</v>
      </c>
      <c r="M42" s="3" t="s">
        <v>232</v>
      </c>
      <c r="N42" s="3" t="s">
        <v>24</v>
      </c>
    </row>
    <row r="43" spans="1:14" ht="41.4" customHeight="1">
      <c r="A43" s="2">
        <v>42</v>
      </c>
      <c r="B43" s="2" t="s">
        <v>226</v>
      </c>
      <c r="C43" s="2" t="s">
        <v>227</v>
      </c>
      <c r="D43" s="2" t="s">
        <v>228</v>
      </c>
      <c r="E43" s="2" t="s">
        <v>17</v>
      </c>
      <c r="F43" s="2" t="s">
        <v>18</v>
      </c>
      <c r="G43" s="2" t="s">
        <v>19</v>
      </c>
      <c r="H43" s="3" t="s">
        <v>233</v>
      </c>
      <c r="I43" s="3" t="s">
        <v>234</v>
      </c>
      <c r="J43" s="3" t="s">
        <v>235</v>
      </c>
      <c r="K43" s="2" t="s">
        <v>588</v>
      </c>
      <c r="L43" s="2">
        <v>6</v>
      </c>
      <c r="M43" s="3" t="s">
        <v>236</v>
      </c>
      <c r="N43" s="3" t="s">
        <v>237</v>
      </c>
    </row>
    <row r="44" spans="1:14" ht="41.4" customHeight="1">
      <c r="A44" s="2">
        <v>43</v>
      </c>
      <c r="B44" s="2" t="s">
        <v>226</v>
      </c>
      <c r="C44" s="2" t="s">
        <v>227</v>
      </c>
      <c r="D44" s="2" t="s">
        <v>228</v>
      </c>
      <c r="E44" s="2" t="s">
        <v>17</v>
      </c>
      <c r="F44" s="2" t="s">
        <v>18</v>
      </c>
      <c r="G44" s="2" t="s">
        <v>238</v>
      </c>
      <c r="H44" s="3" t="s">
        <v>239</v>
      </c>
      <c r="I44" s="3" t="s">
        <v>240</v>
      </c>
      <c r="J44" s="3" t="s">
        <v>241</v>
      </c>
      <c r="K44" s="2" t="s">
        <v>587</v>
      </c>
      <c r="L44" s="2">
        <v>6</v>
      </c>
      <c r="M44" s="3" t="s">
        <v>242</v>
      </c>
      <c r="N44" s="3" t="s">
        <v>243</v>
      </c>
    </row>
    <row r="45" spans="1:14" ht="41.4" customHeight="1">
      <c r="A45" s="2">
        <v>44</v>
      </c>
      <c r="B45" s="2" t="s">
        <v>226</v>
      </c>
      <c r="C45" s="2" t="s">
        <v>227</v>
      </c>
      <c r="D45" s="2" t="s">
        <v>228</v>
      </c>
      <c r="E45" s="2" t="s">
        <v>17</v>
      </c>
      <c r="F45" s="2" t="s">
        <v>18</v>
      </c>
      <c r="G45" s="2" t="s">
        <v>244</v>
      </c>
      <c r="H45" s="3" t="s">
        <v>245</v>
      </c>
      <c r="I45" s="3" t="s">
        <v>246</v>
      </c>
      <c r="J45" s="3" t="s">
        <v>247</v>
      </c>
      <c r="K45" s="2" t="s">
        <v>587</v>
      </c>
      <c r="L45" s="2">
        <v>7</v>
      </c>
      <c r="M45" s="3" t="s">
        <v>248</v>
      </c>
      <c r="N45" s="3" t="s">
        <v>24</v>
      </c>
    </row>
    <row r="46" spans="1:14" ht="41.4" customHeight="1">
      <c r="A46" s="2">
        <v>45</v>
      </c>
      <c r="B46" s="2" t="s">
        <v>226</v>
      </c>
      <c r="C46" s="2" t="s">
        <v>227</v>
      </c>
      <c r="D46" s="2" t="s">
        <v>228</v>
      </c>
      <c r="E46" s="2" t="s">
        <v>17</v>
      </c>
      <c r="F46" s="2" t="s">
        <v>18</v>
      </c>
      <c r="G46" s="2" t="s">
        <v>249</v>
      </c>
      <c r="H46" s="3" t="s">
        <v>250</v>
      </c>
      <c r="I46" s="3" t="s">
        <v>251</v>
      </c>
      <c r="J46" s="3" t="s">
        <v>252</v>
      </c>
      <c r="K46" s="2" t="s">
        <v>587</v>
      </c>
      <c r="L46" s="2">
        <v>9</v>
      </c>
      <c r="M46" s="3" t="s">
        <v>253</v>
      </c>
      <c r="N46" s="3" t="s">
        <v>254</v>
      </c>
    </row>
    <row r="47" spans="1:14" ht="41.4" customHeight="1">
      <c r="A47" s="2">
        <v>46</v>
      </c>
      <c r="B47" s="2" t="s">
        <v>226</v>
      </c>
      <c r="C47" s="2" t="s">
        <v>227</v>
      </c>
      <c r="D47" s="2" t="s">
        <v>228</v>
      </c>
      <c r="E47" s="2" t="s">
        <v>17</v>
      </c>
      <c r="F47" s="2" t="s">
        <v>18</v>
      </c>
      <c r="G47" s="2" t="s">
        <v>249</v>
      </c>
      <c r="H47" s="3" t="s">
        <v>255</v>
      </c>
      <c r="I47" s="3" t="s">
        <v>256</v>
      </c>
      <c r="J47" s="3" t="s">
        <v>257</v>
      </c>
      <c r="K47" s="2" t="s">
        <v>587</v>
      </c>
      <c r="L47" s="2">
        <v>9</v>
      </c>
      <c r="M47" s="3" t="s">
        <v>258</v>
      </c>
      <c r="N47" s="3" t="s">
        <v>24</v>
      </c>
    </row>
    <row r="48" spans="1:14" ht="41.4" customHeight="1">
      <c r="A48" s="2">
        <v>47</v>
      </c>
      <c r="B48" s="2" t="s">
        <v>226</v>
      </c>
      <c r="C48" s="2" t="s">
        <v>227</v>
      </c>
      <c r="D48" s="2" t="s">
        <v>228</v>
      </c>
      <c r="E48" s="2" t="s">
        <v>17</v>
      </c>
      <c r="F48" s="2" t="s">
        <v>49</v>
      </c>
      <c r="G48" s="2" t="s">
        <v>259</v>
      </c>
      <c r="H48" s="3" t="s">
        <v>260</v>
      </c>
      <c r="I48" s="3" t="s">
        <v>261</v>
      </c>
      <c r="J48" s="3" t="s">
        <v>262</v>
      </c>
      <c r="K48" s="2" t="s">
        <v>587</v>
      </c>
      <c r="L48" s="2">
        <v>10</v>
      </c>
      <c r="M48" s="3" t="s">
        <v>263</v>
      </c>
      <c r="N48" s="3" t="s">
        <v>264</v>
      </c>
    </row>
    <row r="49" spans="1:14" ht="41.4" customHeight="1">
      <c r="A49" s="2">
        <v>48</v>
      </c>
      <c r="B49" s="2" t="s">
        <v>226</v>
      </c>
      <c r="C49" s="2" t="s">
        <v>227</v>
      </c>
      <c r="D49" s="2" t="s">
        <v>228</v>
      </c>
      <c r="E49" s="2" t="s">
        <v>17</v>
      </c>
      <c r="F49" s="2" t="s">
        <v>49</v>
      </c>
      <c r="G49" s="2" t="s">
        <v>259</v>
      </c>
      <c r="H49" s="3" t="s">
        <v>265</v>
      </c>
      <c r="I49" s="3" t="s">
        <v>266</v>
      </c>
      <c r="J49" s="3" t="s">
        <v>267</v>
      </c>
      <c r="K49" s="2" t="s">
        <v>587</v>
      </c>
      <c r="L49" s="2">
        <v>10</v>
      </c>
      <c r="M49" s="3" t="s">
        <v>268</v>
      </c>
      <c r="N49" s="3" t="s">
        <v>66</v>
      </c>
    </row>
    <row r="50" spans="1:14" ht="41.4" customHeight="1">
      <c r="A50" s="2">
        <v>49</v>
      </c>
      <c r="B50" s="2" t="s">
        <v>226</v>
      </c>
      <c r="C50" s="2" t="s">
        <v>227</v>
      </c>
      <c r="D50" s="2" t="s">
        <v>228</v>
      </c>
      <c r="E50" s="2" t="s">
        <v>17</v>
      </c>
      <c r="F50" s="2" t="s">
        <v>49</v>
      </c>
      <c r="G50" s="2" t="s">
        <v>269</v>
      </c>
      <c r="H50" s="3" t="s">
        <v>270</v>
      </c>
      <c r="I50" s="3" t="s">
        <v>271</v>
      </c>
      <c r="J50" s="3" t="s">
        <v>272</v>
      </c>
      <c r="K50" s="2" t="s">
        <v>587</v>
      </c>
      <c r="L50" s="2">
        <v>10</v>
      </c>
      <c r="M50" s="3" t="s">
        <v>273</v>
      </c>
      <c r="N50" s="3" t="s">
        <v>60</v>
      </c>
    </row>
    <row r="51" spans="1:14" ht="41.4" customHeight="1">
      <c r="A51" s="2">
        <v>50</v>
      </c>
      <c r="B51" s="2" t="s">
        <v>226</v>
      </c>
      <c r="C51" s="2" t="s">
        <v>227</v>
      </c>
      <c r="D51" s="2" t="s">
        <v>228</v>
      </c>
      <c r="E51" s="2" t="s">
        <v>17</v>
      </c>
      <c r="F51" s="2" t="s">
        <v>49</v>
      </c>
      <c r="G51" s="2" t="s">
        <v>269</v>
      </c>
      <c r="H51" s="3" t="s">
        <v>274</v>
      </c>
      <c r="I51" s="3" t="s">
        <v>275</v>
      </c>
      <c r="J51" s="3" t="s">
        <v>276</v>
      </c>
      <c r="K51" s="2" t="s">
        <v>587</v>
      </c>
      <c r="L51" s="2">
        <v>12</v>
      </c>
      <c r="M51" s="3" t="s">
        <v>277</v>
      </c>
      <c r="N51" s="3" t="s">
        <v>130</v>
      </c>
    </row>
    <row r="52" spans="1:14" ht="41.4" customHeight="1">
      <c r="A52" s="2">
        <v>51</v>
      </c>
      <c r="B52" s="2" t="s">
        <v>226</v>
      </c>
      <c r="C52" s="2" t="s">
        <v>227</v>
      </c>
      <c r="D52" s="2" t="s">
        <v>228</v>
      </c>
      <c r="E52" s="2" t="s">
        <v>17</v>
      </c>
      <c r="F52" s="2" t="s">
        <v>49</v>
      </c>
      <c r="G52" s="2" t="s">
        <v>269</v>
      </c>
      <c r="H52" s="3" t="s">
        <v>278</v>
      </c>
      <c r="I52" s="3" t="s">
        <v>279</v>
      </c>
      <c r="J52" s="3" t="s">
        <v>280</v>
      </c>
      <c r="K52" s="2" t="s">
        <v>587</v>
      </c>
      <c r="L52" s="2">
        <v>12</v>
      </c>
      <c r="M52" s="3" t="s">
        <v>281</v>
      </c>
      <c r="N52" s="3" t="s">
        <v>282</v>
      </c>
    </row>
    <row r="53" spans="1:14" ht="41.4" customHeight="1">
      <c r="A53" s="2">
        <v>52</v>
      </c>
      <c r="B53" s="2" t="s">
        <v>226</v>
      </c>
      <c r="C53" s="2" t="s">
        <v>227</v>
      </c>
      <c r="D53" s="2" t="s">
        <v>228</v>
      </c>
      <c r="E53" s="2" t="s">
        <v>17</v>
      </c>
      <c r="F53" s="2" t="s">
        <v>49</v>
      </c>
      <c r="G53" s="2" t="s">
        <v>283</v>
      </c>
      <c r="H53" s="3" t="s">
        <v>284</v>
      </c>
      <c r="I53" s="3" t="s">
        <v>285</v>
      </c>
      <c r="J53" s="3" t="s">
        <v>286</v>
      </c>
      <c r="K53" s="2" t="s">
        <v>587</v>
      </c>
      <c r="L53" s="2">
        <v>13</v>
      </c>
      <c r="M53" s="3" t="s">
        <v>287</v>
      </c>
      <c r="N53" s="3" t="s">
        <v>283</v>
      </c>
    </row>
    <row r="54" spans="1:14" ht="41.4" customHeight="1">
      <c r="A54" s="2">
        <v>53</v>
      </c>
      <c r="B54" s="2" t="s">
        <v>226</v>
      </c>
      <c r="C54" s="2" t="s">
        <v>227</v>
      </c>
      <c r="D54" s="2" t="s">
        <v>228</v>
      </c>
      <c r="E54" s="2" t="s">
        <v>17</v>
      </c>
      <c r="F54" s="2" t="s">
        <v>84</v>
      </c>
      <c r="G54" s="2" t="s">
        <v>96</v>
      </c>
      <c r="H54" s="3" t="s">
        <v>288</v>
      </c>
      <c r="I54" s="3" t="s">
        <v>289</v>
      </c>
      <c r="J54" s="3" t="s">
        <v>290</v>
      </c>
      <c r="K54" s="2" t="s">
        <v>587</v>
      </c>
      <c r="L54" s="2">
        <v>14</v>
      </c>
      <c r="M54" s="3" t="s">
        <v>291</v>
      </c>
      <c r="N54" s="3" t="s">
        <v>292</v>
      </c>
    </row>
    <row r="55" spans="1:14" ht="41.4" customHeight="1">
      <c r="A55" s="2">
        <v>54</v>
      </c>
      <c r="B55" s="2" t="s">
        <v>226</v>
      </c>
      <c r="C55" s="2" t="s">
        <v>227</v>
      </c>
      <c r="D55" s="2" t="s">
        <v>228</v>
      </c>
      <c r="E55" s="2" t="s">
        <v>17</v>
      </c>
      <c r="F55" s="2" t="s">
        <v>84</v>
      </c>
      <c r="G55" s="2" t="s">
        <v>293</v>
      </c>
      <c r="H55" s="3" t="s">
        <v>294</v>
      </c>
      <c r="I55" s="3" t="s">
        <v>295</v>
      </c>
      <c r="J55" s="3" t="s">
        <v>296</v>
      </c>
      <c r="K55" s="2" t="s">
        <v>587</v>
      </c>
      <c r="L55" s="2">
        <v>14</v>
      </c>
      <c r="M55" s="3" t="s">
        <v>297</v>
      </c>
      <c r="N55" s="3" t="s">
        <v>298</v>
      </c>
    </row>
    <row r="56" spans="1:14" ht="41.4" customHeight="1">
      <c r="A56" s="2">
        <v>55</v>
      </c>
      <c r="B56" s="2" t="s">
        <v>226</v>
      </c>
      <c r="C56" s="2" t="s">
        <v>227</v>
      </c>
      <c r="D56" s="2" t="s">
        <v>228</v>
      </c>
      <c r="E56" s="2" t="s">
        <v>17</v>
      </c>
      <c r="F56" s="2" t="s">
        <v>84</v>
      </c>
      <c r="G56" s="2" t="s">
        <v>299</v>
      </c>
      <c r="H56" s="3" t="s">
        <v>300</v>
      </c>
      <c r="I56" s="3" t="s">
        <v>301</v>
      </c>
      <c r="J56" s="3" t="s">
        <v>302</v>
      </c>
      <c r="K56" s="2" t="s">
        <v>587</v>
      </c>
      <c r="L56" s="2">
        <v>11</v>
      </c>
      <c r="M56" s="3" t="s">
        <v>303</v>
      </c>
      <c r="N56" s="3" t="s">
        <v>208</v>
      </c>
    </row>
    <row r="57" spans="1:14" ht="41.4" customHeight="1">
      <c r="A57" s="2">
        <v>56</v>
      </c>
      <c r="B57" s="2" t="s">
        <v>226</v>
      </c>
      <c r="C57" s="2" t="s">
        <v>227</v>
      </c>
      <c r="D57" s="2" t="s">
        <v>228</v>
      </c>
      <c r="E57" s="2" t="s">
        <v>17</v>
      </c>
      <c r="F57" s="2" t="s">
        <v>84</v>
      </c>
      <c r="G57" s="2" t="s">
        <v>102</v>
      </c>
      <c r="H57" s="3" t="s">
        <v>304</v>
      </c>
      <c r="I57" s="3" t="s">
        <v>305</v>
      </c>
      <c r="J57" s="3" t="s">
        <v>306</v>
      </c>
      <c r="K57" s="2" t="s">
        <v>587</v>
      </c>
      <c r="L57" s="2">
        <v>15</v>
      </c>
      <c r="M57" s="3" t="s">
        <v>307</v>
      </c>
      <c r="N57" s="3" t="s">
        <v>308</v>
      </c>
    </row>
    <row r="58" spans="1:14" ht="41.4" customHeight="1">
      <c r="A58" s="2">
        <v>57</v>
      </c>
      <c r="B58" s="2" t="s">
        <v>226</v>
      </c>
      <c r="C58" s="2" t="s">
        <v>227</v>
      </c>
      <c r="D58" s="2" t="s">
        <v>228</v>
      </c>
      <c r="E58" s="2" t="s">
        <v>108</v>
      </c>
      <c r="F58" s="2" t="s">
        <v>49</v>
      </c>
      <c r="G58" s="2" t="s">
        <v>108</v>
      </c>
      <c r="H58" s="3" t="s">
        <v>309</v>
      </c>
      <c r="I58" s="3" t="s">
        <v>310</v>
      </c>
      <c r="J58" s="3" t="s">
        <v>311</v>
      </c>
      <c r="K58" s="2"/>
      <c r="L58" s="2"/>
      <c r="M58" s="3"/>
      <c r="N58" s="3" t="s">
        <v>112</v>
      </c>
    </row>
    <row r="59" spans="1:14" ht="41.4" customHeight="1">
      <c r="A59" s="2">
        <v>58</v>
      </c>
      <c r="B59" s="2" t="s">
        <v>226</v>
      </c>
      <c r="C59" s="2" t="s">
        <v>227</v>
      </c>
      <c r="D59" s="2" t="s">
        <v>228</v>
      </c>
      <c r="E59" s="2" t="s">
        <v>108</v>
      </c>
      <c r="F59" s="2" t="s">
        <v>49</v>
      </c>
      <c r="G59" s="2" t="s">
        <v>108</v>
      </c>
      <c r="H59" s="3" t="s">
        <v>312</v>
      </c>
      <c r="I59" s="3" t="s">
        <v>313</v>
      </c>
      <c r="J59" s="3" t="s">
        <v>314</v>
      </c>
      <c r="K59" s="2"/>
      <c r="L59" s="2"/>
      <c r="M59" s="3"/>
      <c r="N59" s="3" t="s">
        <v>112</v>
      </c>
    </row>
    <row r="60" spans="1:14" ht="41.4" customHeight="1">
      <c r="A60" s="2">
        <v>59</v>
      </c>
      <c r="B60" s="2" t="s">
        <v>226</v>
      </c>
      <c r="C60" s="2" t="s">
        <v>227</v>
      </c>
      <c r="D60" s="2" t="s">
        <v>228</v>
      </c>
      <c r="E60" s="2" t="s">
        <v>108</v>
      </c>
      <c r="F60" s="2" t="s">
        <v>84</v>
      </c>
      <c r="G60" s="2" t="s">
        <v>108</v>
      </c>
      <c r="H60" s="3" t="s">
        <v>315</v>
      </c>
      <c r="I60" s="3" t="s">
        <v>316</v>
      </c>
      <c r="J60" s="3" t="s">
        <v>317</v>
      </c>
      <c r="K60" s="2"/>
      <c r="L60" s="2"/>
      <c r="M60" s="3"/>
      <c r="N60" s="3" t="s">
        <v>112</v>
      </c>
    </row>
    <row r="61" spans="1:14" ht="41.4" customHeight="1">
      <c r="A61" s="2">
        <v>60</v>
      </c>
      <c r="B61" s="2" t="s">
        <v>226</v>
      </c>
      <c r="C61" s="2" t="s">
        <v>227</v>
      </c>
      <c r="D61" s="2" t="s">
        <v>228</v>
      </c>
      <c r="E61" s="2" t="s">
        <v>108</v>
      </c>
      <c r="F61" s="2" t="s">
        <v>84</v>
      </c>
      <c r="G61" s="2" t="s">
        <v>108</v>
      </c>
      <c r="H61" s="3" t="s">
        <v>318</v>
      </c>
      <c r="I61" s="3" t="s">
        <v>319</v>
      </c>
      <c r="J61" s="3" t="s">
        <v>320</v>
      </c>
      <c r="K61" s="2"/>
      <c r="L61" s="2"/>
      <c r="M61" s="3"/>
      <c r="N61" s="3" t="s">
        <v>112</v>
      </c>
    </row>
    <row r="62" spans="1:14" ht="41.4" customHeight="1">
      <c r="A62" s="2">
        <v>61</v>
      </c>
      <c r="B62" s="2" t="s">
        <v>321</v>
      </c>
      <c r="C62" s="2" t="s">
        <v>322</v>
      </c>
      <c r="D62" s="2" t="s">
        <v>323</v>
      </c>
      <c r="E62" s="2" t="s">
        <v>17</v>
      </c>
      <c r="F62" s="2" t="s">
        <v>18</v>
      </c>
      <c r="G62" s="2" t="s">
        <v>19</v>
      </c>
      <c r="H62" s="3" t="s">
        <v>324</v>
      </c>
      <c r="I62" s="3" t="s">
        <v>325</v>
      </c>
      <c r="J62" s="3" t="s">
        <v>326</v>
      </c>
      <c r="K62" s="2" t="s">
        <v>590</v>
      </c>
      <c r="L62" s="2">
        <v>9</v>
      </c>
      <c r="M62" s="3" t="s">
        <v>327</v>
      </c>
      <c r="N62" s="3" t="s">
        <v>24</v>
      </c>
    </row>
    <row r="63" spans="1:14" ht="41.4" customHeight="1">
      <c r="A63" s="2">
        <v>62</v>
      </c>
      <c r="B63" s="2" t="s">
        <v>321</v>
      </c>
      <c r="C63" s="2" t="s">
        <v>322</v>
      </c>
      <c r="D63" s="2" t="s">
        <v>323</v>
      </c>
      <c r="E63" s="2" t="s">
        <v>17</v>
      </c>
      <c r="F63" s="2" t="s">
        <v>18</v>
      </c>
      <c r="G63" s="2" t="s">
        <v>328</v>
      </c>
      <c r="H63" s="3" t="s">
        <v>329</v>
      </c>
      <c r="I63" s="3" t="s">
        <v>330</v>
      </c>
      <c r="J63" s="3" t="s">
        <v>331</v>
      </c>
      <c r="K63" s="2" t="s">
        <v>590</v>
      </c>
      <c r="L63" s="2">
        <v>9</v>
      </c>
      <c r="M63" s="3" t="s">
        <v>332</v>
      </c>
      <c r="N63" s="3" t="s">
        <v>24</v>
      </c>
    </row>
    <row r="64" spans="1:14" ht="41.4" customHeight="1">
      <c r="A64" s="2">
        <v>63</v>
      </c>
      <c r="B64" s="2" t="s">
        <v>321</v>
      </c>
      <c r="C64" s="2" t="s">
        <v>322</v>
      </c>
      <c r="D64" s="2" t="s">
        <v>323</v>
      </c>
      <c r="E64" s="2" t="s">
        <v>17</v>
      </c>
      <c r="F64" s="2" t="s">
        <v>18</v>
      </c>
      <c r="G64" s="2" t="s">
        <v>333</v>
      </c>
      <c r="H64" s="3" t="s">
        <v>334</v>
      </c>
      <c r="I64" s="3" t="s">
        <v>335</v>
      </c>
      <c r="J64" s="3" t="s">
        <v>336</v>
      </c>
      <c r="K64" s="2" t="s">
        <v>589</v>
      </c>
      <c r="L64" s="2">
        <v>9</v>
      </c>
      <c r="M64" s="3" t="s">
        <v>337</v>
      </c>
      <c r="N64" s="3" t="s">
        <v>24</v>
      </c>
    </row>
    <row r="65" spans="1:14" ht="41.4" customHeight="1">
      <c r="A65" s="2">
        <v>64</v>
      </c>
      <c r="B65" s="2" t="s">
        <v>321</v>
      </c>
      <c r="C65" s="2" t="s">
        <v>322</v>
      </c>
      <c r="D65" s="2" t="s">
        <v>323</v>
      </c>
      <c r="E65" s="2" t="s">
        <v>17</v>
      </c>
      <c r="F65" s="2" t="s">
        <v>18</v>
      </c>
      <c r="G65" s="2" t="s">
        <v>283</v>
      </c>
      <c r="H65" s="3" t="s">
        <v>338</v>
      </c>
      <c r="I65" s="3" t="s">
        <v>339</v>
      </c>
      <c r="J65" s="3" t="s">
        <v>340</v>
      </c>
      <c r="K65" s="2" t="s">
        <v>589</v>
      </c>
      <c r="L65" s="2">
        <v>10</v>
      </c>
      <c r="M65" s="3" t="s">
        <v>341</v>
      </c>
      <c r="N65" s="3" t="s">
        <v>24</v>
      </c>
    </row>
    <row r="66" spans="1:14" ht="41.4" customHeight="1">
      <c r="A66" s="2">
        <v>65</v>
      </c>
      <c r="B66" s="2" t="s">
        <v>321</v>
      </c>
      <c r="C66" s="2" t="s">
        <v>322</v>
      </c>
      <c r="D66" s="2" t="s">
        <v>323</v>
      </c>
      <c r="E66" s="2" t="s">
        <v>17</v>
      </c>
      <c r="F66" s="2" t="s">
        <v>18</v>
      </c>
      <c r="G66" s="2" t="s">
        <v>170</v>
      </c>
      <c r="H66" s="3" t="s">
        <v>342</v>
      </c>
      <c r="I66" s="3" t="s">
        <v>343</v>
      </c>
      <c r="J66" s="3" t="s">
        <v>344</v>
      </c>
      <c r="K66" s="2" t="s">
        <v>589</v>
      </c>
      <c r="L66" s="2">
        <v>11</v>
      </c>
      <c r="M66" s="3" t="s">
        <v>341</v>
      </c>
      <c r="N66" s="3" t="s">
        <v>345</v>
      </c>
    </row>
    <row r="67" spans="1:14" ht="41.4" customHeight="1">
      <c r="A67" s="2">
        <v>66</v>
      </c>
      <c r="B67" s="2" t="s">
        <v>321</v>
      </c>
      <c r="C67" s="2" t="s">
        <v>322</v>
      </c>
      <c r="D67" s="2" t="s">
        <v>323</v>
      </c>
      <c r="E67" s="2" t="s">
        <v>17</v>
      </c>
      <c r="F67" s="2" t="s">
        <v>18</v>
      </c>
      <c r="G67" s="2" t="s">
        <v>238</v>
      </c>
      <c r="H67" s="3" t="s">
        <v>346</v>
      </c>
      <c r="I67" s="3" t="s">
        <v>347</v>
      </c>
      <c r="J67" s="3" t="s">
        <v>348</v>
      </c>
      <c r="K67" s="2" t="s">
        <v>589</v>
      </c>
      <c r="L67" s="2">
        <v>14</v>
      </c>
      <c r="M67" s="3" t="s">
        <v>349</v>
      </c>
      <c r="N67" s="3" t="s">
        <v>170</v>
      </c>
    </row>
    <row r="68" spans="1:14" ht="41.4" customHeight="1">
      <c r="A68" s="2">
        <v>67</v>
      </c>
      <c r="B68" s="2" t="s">
        <v>321</v>
      </c>
      <c r="C68" s="2" t="s">
        <v>322</v>
      </c>
      <c r="D68" s="2" t="s">
        <v>323</v>
      </c>
      <c r="E68" s="2" t="s">
        <v>17</v>
      </c>
      <c r="F68" s="2" t="s">
        <v>49</v>
      </c>
      <c r="G68" s="2" t="s">
        <v>350</v>
      </c>
      <c r="H68" s="3" t="s">
        <v>351</v>
      </c>
      <c r="I68" s="3" t="s">
        <v>352</v>
      </c>
      <c r="J68" s="3" t="s">
        <v>353</v>
      </c>
      <c r="K68" s="2" t="s">
        <v>589</v>
      </c>
      <c r="L68" s="2">
        <v>15</v>
      </c>
      <c r="M68" s="3" t="s">
        <v>354</v>
      </c>
      <c r="N68" s="3" t="s">
        <v>107</v>
      </c>
    </row>
    <row r="69" spans="1:14" ht="41.4" customHeight="1">
      <c r="A69" s="2">
        <v>68</v>
      </c>
      <c r="B69" s="2" t="s">
        <v>321</v>
      </c>
      <c r="C69" s="2" t="s">
        <v>322</v>
      </c>
      <c r="D69" s="2" t="s">
        <v>323</v>
      </c>
      <c r="E69" s="2" t="s">
        <v>17</v>
      </c>
      <c r="F69" s="2" t="s">
        <v>49</v>
      </c>
      <c r="G69" s="2" t="s">
        <v>355</v>
      </c>
      <c r="H69" s="3" t="s">
        <v>356</v>
      </c>
      <c r="I69" s="3" t="s">
        <v>357</v>
      </c>
      <c r="J69" s="3" t="s">
        <v>358</v>
      </c>
      <c r="K69" s="2" t="s">
        <v>589</v>
      </c>
      <c r="L69" s="2">
        <v>15</v>
      </c>
      <c r="M69" s="3" t="s">
        <v>359</v>
      </c>
      <c r="N69" s="3" t="s">
        <v>360</v>
      </c>
    </row>
    <row r="70" spans="1:14" ht="41.4" customHeight="1">
      <c r="A70" s="2">
        <v>69</v>
      </c>
      <c r="B70" s="2" t="s">
        <v>321</v>
      </c>
      <c r="C70" s="2" t="s">
        <v>322</v>
      </c>
      <c r="D70" s="2" t="s">
        <v>323</v>
      </c>
      <c r="E70" s="2" t="s">
        <v>17</v>
      </c>
      <c r="F70" s="2" t="s">
        <v>49</v>
      </c>
      <c r="G70" s="2" t="s">
        <v>78</v>
      </c>
      <c r="H70" s="3" t="s">
        <v>361</v>
      </c>
      <c r="I70" s="3" t="s">
        <v>362</v>
      </c>
      <c r="J70" s="3" t="s">
        <v>363</v>
      </c>
      <c r="K70" s="2" t="s">
        <v>589</v>
      </c>
      <c r="L70" s="2">
        <v>11</v>
      </c>
      <c r="M70" s="3" t="s">
        <v>364</v>
      </c>
      <c r="N70" s="3" t="s">
        <v>83</v>
      </c>
    </row>
    <row r="71" spans="1:14" ht="41.4" customHeight="1">
      <c r="A71" s="2">
        <v>70</v>
      </c>
      <c r="B71" s="2" t="s">
        <v>321</v>
      </c>
      <c r="C71" s="2" t="s">
        <v>322</v>
      </c>
      <c r="D71" s="2" t="s">
        <v>323</v>
      </c>
      <c r="E71" s="2" t="s">
        <v>17</v>
      </c>
      <c r="F71" s="2" t="s">
        <v>49</v>
      </c>
      <c r="G71" s="2" t="s">
        <v>365</v>
      </c>
      <c r="H71" s="3" t="s">
        <v>366</v>
      </c>
      <c r="I71" s="3" t="s">
        <v>367</v>
      </c>
      <c r="J71" s="3" t="s">
        <v>368</v>
      </c>
      <c r="K71" s="2" t="s">
        <v>589</v>
      </c>
      <c r="L71" s="2">
        <v>23</v>
      </c>
      <c r="M71" s="3" t="s">
        <v>369</v>
      </c>
      <c r="N71" s="3" t="s">
        <v>130</v>
      </c>
    </row>
    <row r="72" spans="1:14" ht="41.4" customHeight="1">
      <c r="A72" s="2">
        <v>71</v>
      </c>
      <c r="B72" s="2" t="s">
        <v>321</v>
      </c>
      <c r="C72" s="2" t="s">
        <v>322</v>
      </c>
      <c r="D72" s="2" t="s">
        <v>323</v>
      </c>
      <c r="E72" s="2" t="s">
        <v>17</v>
      </c>
      <c r="F72" s="2" t="s">
        <v>49</v>
      </c>
      <c r="G72" s="2" t="s">
        <v>370</v>
      </c>
      <c r="H72" s="3" t="s">
        <v>371</v>
      </c>
      <c r="I72" s="3" t="s">
        <v>372</v>
      </c>
      <c r="J72" s="3" t="s">
        <v>373</v>
      </c>
      <c r="K72" s="2" t="s">
        <v>589</v>
      </c>
      <c r="L72" s="2">
        <v>24</v>
      </c>
      <c r="M72" s="3" t="s">
        <v>374</v>
      </c>
      <c r="N72" s="3" t="s">
        <v>375</v>
      </c>
    </row>
    <row r="73" spans="1:14" ht="41.4" customHeight="1">
      <c r="A73" s="2">
        <v>72</v>
      </c>
      <c r="B73" s="2" t="s">
        <v>321</v>
      </c>
      <c r="C73" s="2" t="s">
        <v>322</v>
      </c>
      <c r="D73" s="2" t="s">
        <v>323</v>
      </c>
      <c r="E73" s="2" t="s">
        <v>17</v>
      </c>
      <c r="F73" s="2" t="s">
        <v>49</v>
      </c>
      <c r="G73" s="2" t="s">
        <v>376</v>
      </c>
      <c r="H73" s="3" t="s">
        <v>377</v>
      </c>
      <c r="I73" s="3" t="s">
        <v>378</v>
      </c>
      <c r="J73" s="3" t="s">
        <v>379</v>
      </c>
      <c r="K73" s="2" t="s">
        <v>589</v>
      </c>
      <c r="L73" s="2">
        <v>24</v>
      </c>
      <c r="M73" s="3" t="s">
        <v>54</v>
      </c>
      <c r="N73" s="3" t="s">
        <v>55</v>
      </c>
    </row>
    <row r="74" spans="1:14" ht="41.4" customHeight="1">
      <c r="A74" s="2">
        <v>73</v>
      </c>
      <c r="B74" s="2" t="s">
        <v>321</v>
      </c>
      <c r="C74" s="2" t="s">
        <v>322</v>
      </c>
      <c r="D74" s="2" t="s">
        <v>323</v>
      </c>
      <c r="E74" s="2" t="s">
        <v>17</v>
      </c>
      <c r="F74" s="2" t="s">
        <v>84</v>
      </c>
      <c r="G74" s="2" t="s">
        <v>380</v>
      </c>
      <c r="H74" s="3" t="s">
        <v>381</v>
      </c>
      <c r="I74" s="3" t="s">
        <v>382</v>
      </c>
      <c r="J74" s="3" t="s">
        <v>383</v>
      </c>
      <c r="K74" s="2" t="s">
        <v>589</v>
      </c>
      <c r="L74" s="2">
        <v>10</v>
      </c>
      <c r="M74" s="3" t="s">
        <v>341</v>
      </c>
      <c r="N74" s="3" t="s">
        <v>384</v>
      </c>
    </row>
    <row r="75" spans="1:14" ht="41.4" customHeight="1">
      <c r="A75" s="2">
        <v>74</v>
      </c>
      <c r="B75" s="2" t="s">
        <v>321</v>
      </c>
      <c r="C75" s="2" t="s">
        <v>322</v>
      </c>
      <c r="D75" s="2" t="s">
        <v>323</v>
      </c>
      <c r="E75" s="2" t="s">
        <v>17</v>
      </c>
      <c r="F75" s="2" t="s">
        <v>84</v>
      </c>
      <c r="G75" s="2" t="s">
        <v>385</v>
      </c>
      <c r="H75" s="3" t="s">
        <v>386</v>
      </c>
      <c r="I75" s="3" t="s">
        <v>387</v>
      </c>
      <c r="J75" s="3" t="s">
        <v>388</v>
      </c>
      <c r="K75" s="2" t="s">
        <v>589</v>
      </c>
      <c r="L75" s="2">
        <v>11</v>
      </c>
      <c r="M75" s="3" t="s">
        <v>389</v>
      </c>
      <c r="N75" s="3" t="s">
        <v>174</v>
      </c>
    </row>
    <row r="76" spans="1:14" ht="41.4" customHeight="1">
      <c r="A76" s="2">
        <v>75</v>
      </c>
      <c r="B76" s="2" t="s">
        <v>321</v>
      </c>
      <c r="C76" s="2" t="s">
        <v>322</v>
      </c>
      <c r="D76" s="2" t="s">
        <v>323</v>
      </c>
      <c r="E76" s="2" t="s">
        <v>17</v>
      </c>
      <c r="F76" s="2" t="s">
        <v>84</v>
      </c>
      <c r="G76" s="2" t="s">
        <v>390</v>
      </c>
      <c r="H76" s="3" t="s">
        <v>391</v>
      </c>
      <c r="I76" s="3" t="s">
        <v>392</v>
      </c>
      <c r="J76" s="3" t="s">
        <v>393</v>
      </c>
      <c r="K76" s="2" t="s">
        <v>589</v>
      </c>
      <c r="L76" s="2">
        <v>25</v>
      </c>
      <c r="M76" s="3" t="s">
        <v>394</v>
      </c>
      <c r="N76" s="3" t="s">
        <v>61</v>
      </c>
    </row>
    <row r="77" spans="1:14" ht="41.4" customHeight="1">
      <c r="A77" s="2">
        <v>76</v>
      </c>
      <c r="B77" s="2" t="s">
        <v>321</v>
      </c>
      <c r="C77" s="2" t="s">
        <v>322</v>
      </c>
      <c r="D77" s="2" t="s">
        <v>323</v>
      </c>
      <c r="E77" s="2" t="s">
        <v>17</v>
      </c>
      <c r="F77" s="2" t="s">
        <v>84</v>
      </c>
      <c r="G77" s="2" t="s">
        <v>395</v>
      </c>
      <c r="H77" s="3" t="s">
        <v>396</v>
      </c>
      <c r="I77" s="3" t="s">
        <v>397</v>
      </c>
      <c r="J77" s="3" t="s">
        <v>398</v>
      </c>
      <c r="K77" s="2" t="s">
        <v>589</v>
      </c>
      <c r="L77" s="2">
        <v>15</v>
      </c>
      <c r="M77" s="3" t="s">
        <v>399</v>
      </c>
      <c r="N77" s="3" t="s">
        <v>400</v>
      </c>
    </row>
    <row r="78" spans="1:14" ht="41.4" customHeight="1">
      <c r="A78" s="2">
        <v>77</v>
      </c>
      <c r="B78" s="2" t="s">
        <v>321</v>
      </c>
      <c r="C78" s="2" t="s">
        <v>322</v>
      </c>
      <c r="D78" s="2" t="s">
        <v>323</v>
      </c>
      <c r="E78" s="2" t="s">
        <v>108</v>
      </c>
      <c r="F78" s="2" t="s">
        <v>49</v>
      </c>
      <c r="G78" s="2" t="s">
        <v>108</v>
      </c>
      <c r="H78" s="3" t="s">
        <v>401</v>
      </c>
      <c r="I78" s="3" t="s">
        <v>402</v>
      </c>
      <c r="J78" s="3" t="s">
        <v>403</v>
      </c>
      <c r="K78" s="2"/>
      <c r="L78" s="2"/>
      <c r="M78" s="3"/>
      <c r="N78" s="3" t="s">
        <v>112</v>
      </c>
    </row>
    <row r="79" spans="1:14" ht="41.4" customHeight="1">
      <c r="A79" s="2">
        <v>78</v>
      </c>
      <c r="B79" s="2" t="s">
        <v>321</v>
      </c>
      <c r="C79" s="2" t="s">
        <v>322</v>
      </c>
      <c r="D79" s="2" t="s">
        <v>323</v>
      </c>
      <c r="E79" s="2" t="s">
        <v>108</v>
      </c>
      <c r="F79" s="2" t="s">
        <v>49</v>
      </c>
      <c r="G79" s="2" t="s">
        <v>108</v>
      </c>
      <c r="H79" s="3" t="s">
        <v>404</v>
      </c>
      <c r="I79" s="3" t="s">
        <v>405</v>
      </c>
      <c r="J79" s="3" t="s">
        <v>406</v>
      </c>
      <c r="K79" s="2"/>
      <c r="L79" s="2"/>
      <c r="M79" s="3"/>
      <c r="N79" s="3" t="s">
        <v>112</v>
      </c>
    </row>
    <row r="80" spans="1:14" ht="41.4" customHeight="1">
      <c r="A80" s="2">
        <v>79</v>
      </c>
      <c r="B80" s="2" t="s">
        <v>321</v>
      </c>
      <c r="C80" s="2" t="s">
        <v>322</v>
      </c>
      <c r="D80" s="2" t="s">
        <v>323</v>
      </c>
      <c r="E80" s="2" t="s">
        <v>108</v>
      </c>
      <c r="F80" s="2" t="s">
        <v>84</v>
      </c>
      <c r="G80" s="2" t="s">
        <v>108</v>
      </c>
      <c r="H80" s="3" t="s">
        <v>407</v>
      </c>
      <c r="I80" s="3" t="s">
        <v>408</v>
      </c>
      <c r="J80" s="3" t="s">
        <v>409</v>
      </c>
      <c r="K80" s="2"/>
      <c r="L80" s="2"/>
      <c r="M80" s="3"/>
      <c r="N80" s="3" t="s">
        <v>112</v>
      </c>
    </row>
    <row r="81" spans="1:14" ht="41.4" customHeight="1">
      <c r="A81" s="2">
        <v>80</v>
      </c>
      <c r="B81" s="2" t="s">
        <v>321</v>
      </c>
      <c r="C81" s="2" t="s">
        <v>322</v>
      </c>
      <c r="D81" s="2" t="s">
        <v>323</v>
      </c>
      <c r="E81" s="2" t="s">
        <v>108</v>
      </c>
      <c r="F81" s="2" t="s">
        <v>84</v>
      </c>
      <c r="G81" s="2" t="s">
        <v>108</v>
      </c>
      <c r="H81" s="3" t="s">
        <v>410</v>
      </c>
      <c r="I81" s="3" t="s">
        <v>411</v>
      </c>
      <c r="J81" s="3" t="s">
        <v>412</v>
      </c>
      <c r="K81" s="2"/>
      <c r="L81" s="2"/>
      <c r="M81" s="3"/>
      <c r="N81" s="3" t="s">
        <v>112</v>
      </c>
    </row>
    <row r="82" spans="1:14" ht="41.4" customHeight="1">
      <c r="A82" s="2">
        <v>81</v>
      </c>
      <c r="B82" s="2" t="s">
        <v>413</v>
      </c>
      <c r="C82" s="2" t="s">
        <v>414</v>
      </c>
      <c r="D82" s="2" t="s">
        <v>415</v>
      </c>
      <c r="E82" s="2" t="s">
        <v>17</v>
      </c>
      <c r="F82" s="2" t="s">
        <v>18</v>
      </c>
      <c r="G82" s="2" t="s">
        <v>283</v>
      </c>
      <c r="H82" s="3" t="s">
        <v>416</v>
      </c>
      <c r="I82" s="3" t="s">
        <v>417</v>
      </c>
      <c r="J82" s="3" t="s">
        <v>418</v>
      </c>
      <c r="K82" s="2" t="s">
        <v>592</v>
      </c>
      <c r="L82" s="2">
        <v>293</v>
      </c>
      <c r="M82" s="3" t="s">
        <v>419</v>
      </c>
      <c r="N82" s="3" t="s">
        <v>163</v>
      </c>
    </row>
    <row r="83" spans="1:14" ht="41.4" customHeight="1">
      <c r="A83" s="2">
        <v>82</v>
      </c>
      <c r="B83" s="2" t="s">
        <v>413</v>
      </c>
      <c r="C83" s="2" t="s">
        <v>414</v>
      </c>
      <c r="D83" s="2" t="s">
        <v>415</v>
      </c>
      <c r="E83" s="2" t="s">
        <v>17</v>
      </c>
      <c r="F83" s="2" t="s">
        <v>18</v>
      </c>
      <c r="G83" s="2" t="s">
        <v>420</v>
      </c>
      <c r="H83" s="3" t="s">
        <v>421</v>
      </c>
      <c r="I83" s="3" t="s">
        <v>422</v>
      </c>
      <c r="J83" s="3" t="s">
        <v>423</v>
      </c>
      <c r="K83" s="2" t="s">
        <v>592</v>
      </c>
      <c r="L83" s="2">
        <v>294</v>
      </c>
      <c r="M83" s="3" t="s">
        <v>424</v>
      </c>
      <c r="N83" s="3" t="s">
        <v>24</v>
      </c>
    </row>
    <row r="84" spans="1:14" ht="41.4" customHeight="1">
      <c r="A84" s="2">
        <v>83</v>
      </c>
      <c r="B84" s="2" t="s">
        <v>413</v>
      </c>
      <c r="C84" s="2" t="s">
        <v>414</v>
      </c>
      <c r="D84" s="2" t="s">
        <v>415</v>
      </c>
      <c r="E84" s="2" t="s">
        <v>17</v>
      </c>
      <c r="F84" s="2" t="s">
        <v>18</v>
      </c>
      <c r="G84" s="2" t="s">
        <v>425</v>
      </c>
      <c r="H84" s="3" t="s">
        <v>426</v>
      </c>
      <c r="I84" s="3" t="s">
        <v>427</v>
      </c>
      <c r="J84" s="3" t="s">
        <v>428</v>
      </c>
      <c r="K84" s="2" t="s">
        <v>592</v>
      </c>
      <c r="L84" s="2">
        <v>295</v>
      </c>
      <c r="M84" s="3" t="s">
        <v>429</v>
      </c>
      <c r="N84" s="3" t="s">
        <v>24</v>
      </c>
    </row>
    <row r="85" spans="1:14" ht="41.4" customHeight="1">
      <c r="A85" s="2">
        <v>84</v>
      </c>
      <c r="B85" s="2" t="s">
        <v>413</v>
      </c>
      <c r="C85" s="2" t="s">
        <v>414</v>
      </c>
      <c r="D85" s="2" t="s">
        <v>415</v>
      </c>
      <c r="E85" s="2" t="s">
        <v>17</v>
      </c>
      <c r="F85" s="2" t="s">
        <v>18</v>
      </c>
      <c r="G85" s="2" t="s">
        <v>430</v>
      </c>
      <c r="H85" s="3" t="s">
        <v>431</v>
      </c>
      <c r="I85" s="3" t="s">
        <v>432</v>
      </c>
      <c r="J85" s="3" t="s">
        <v>433</v>
      </c>
      <c r="K85" s="2" t="s">
        <v>591</v>
      </c>
      <c r="L85" s="2">
        <v>176</v>
      </c>
      <c r="M85" s="3" t="s">
        <v>434</v>
      </c>
      <c r="N85" s="3" t="s">
        <v>345</v>
      </c>
    </row>
    <row r="86" spans="1:14" ht="41.4" customHeight="1">
      <c r="A86" s="2">
        <v>85</v>
      </c>
      <c r="B86" s="2" t="s">
        <v>413</v>
      </c>
      <c r="C86" s="2" t="s">
        <v>414</v>
      </c>
      <c r="D86" s="2" t="s">
        <v>415</v>
      </c>
      <c r="E86" s="2" t="s">
        <v>17</v>
      </c>
      <c r="F86" s="2" t="s">
        <v>18</v>
      </c>
      <c r="G86" s="2" t="s">
        <v>147</v>
      </c>
      <c r="H86" s="3" t="s">
        <v>435</v>
      </c>
      <c r="I86" s="3" t="s">
        <v>436</v>
      </c>
      <c r="J86" s="3" t="s">
        <v>437</v>
      </c>
      <c r="K86" s="2" t="s">
        <v>591</v>
      </c>
      <c r="L86" s="2">
        <v>96</v>
      </c>
      <c r="M86" s="3" t="s">
        <v>151</v>
      </c>
      <c r="N86" s="3" t="s">
        <v>152</v>
      </c>
    </row>
    <row r="87" spans="1:14" ht="41.4" customHeight="1">
      <c r="A87" s="2">
        <v>86</v>
      </c>
      <c r="B87" s="2" t="s">
        <v>413</v>
      </c>
      <c r="C87" s="2" t="s">
        <v>414</v>
      </c>
      <c r="D87" s="2" t="s">
        <v>415</v>
      </c>
      <c r="E87" s="2" t="s">
        <v>17</v>
      </c>
      <c r="F87" s="2" t="s">
        <v>18</v>
      </c>
      <c r="G87" s="2" t="s">
        <v>430</v>
      </c>
      <c r="H87" s="3" t="s">
        <v>438</v>
      </c>
      <c r="I87" s="3" t="s">
        <v>439</v>
      </c>
      <c r="J87" s="3" t="s">
        <v>440</v>
      </c>
      <c r="K87" s="2" t="s">
        <v>591</v>
      </c>
      <c r="L87" s="2">
        <v>282</v>
      </c>
      <c r="M87" s="3" t="s">
        <v>441</v>
      </c>
      <c r="N87" s="3" t="s">
        <v>442</v>
      </c>
    </row>
    <row r="88" spans="1:14" ht="41.4" customHeight="1">
      <c r="A88" s="2">
        <v>87</v>
      </c>
      <c r="B88" s="2" t="s">
        <v>413</v>
      </c>
      <c r="C88" s="2" t="s">
        <v>414</v>
      </c>
      <c r="D88" s="2" t="s">
        <v>415</v>
      </c>
      <c r="E88" s="2" t="s">
        <v>17</v>
      </c>
      <c r="F88" s="2" t="s">
        <v>49</v>
      </c>
      <c r="G88" s="2" t="s">
        <v>96</v>
      </c>
      <c r="H88" s="3" t="s">
        <v>443</v>
      </c>
      <c r="I88" s="3" t="s">
        <v>444</v>
      </c>
      <c r="J88" s="3" t="s">
        <v>445</v>
      </c>
      <c r="K88" s="2" t="s">
        <v>591</v>
      </c>
      <c r="L88" s="2">
        <v>293</v>
      </c>
      <c r="M88" s="3" t="s">
        <v>446</v>
      </c>
      <c r="N88" s="3" t="s">
        <v>292</v>
      </c>
    </row>
    <row r="89" spans="1:14" ht="41.4" customHeight="1">
      <c r="A89" s="2">
        <v>88</v>
      </c>
      <c r="B89" s="2" t="s">
        <v>413</v>
      </c>
      <c r="C89" s="2" t="s">
        <v>414</v>
      </c>
      <c r="D89" s="2" t="s">
        <v>415</v>
      </c>
      <c r="E89" s="2" t="s">
        <v>17</v>
      </c>
      <c r="F89" s="2" t="s">
        <v>49</v>
      </c>
      <c r="G89" s="2" t="s">
        <v>78</v>
      </c>
      <c r="H89" s="3" t="s">
        <v>447</v>
      </c>
      <c r="I89" s="3" t="s">
        <v>448</v>
      </c>
      <c r="J89" s="3" t="s">
        <v>449</v>
      </c>
      <c r="K89" s="2" t="s">
        <v>591</v>
      </c>
      <c r="L89" s="2">
        <v>294</v>
      </c>
      <c r="M89" s="3" t="s">
        <v>450</v>
      </c>
      <c r="N89" s="3" t="s">
        <v>130</v>
      </c>
    </row>
    <row r="90" spans="1:14" ht="41.4" customHeight="1">
      <c r="A90" s="2">
        <v>89</v>
      </c>
      <c r="B90" s="2" t="s">
        <v>413</v>
      </c>
      <c r="C90" s="2" t="s">
        <v>414</v>
      </c>
      <c r="D90" s="2" t="s">
        <v>415</v>
      </c>
      <c r="E90" s="2" t="s">
        <v>17</v>
      </c>
      <c r="F90" s="2" t="s">
        <v>49</v>
      </c>
      <c r="G90" s="2" t="s">
        <v>451</v>
      </c>
      <c r="H90" s="3" t="s">
        <v>452</v>
      </c>
      <c r="I90" s="3" t="s">
        <v>453</v>
      </c>
      <c r="J90" s="3" t="s">
        <v>454</v>
      </c>
      <c r="K90" s="2" t="s">
        <v>591</v>
      </c>
      <c r="L90" s="2">
        <v>295</v>
      </c>
      <c r="M90" s="3" t="s">
        <v>429</v>
      </c>
      <c r="N90" s="3" t="s">
        <v>455</v>
      </c>
    </row>
    <row r="91" spans="1:14" ht="41.4" customHeight="1">
      <c r="A91" s="2">
        <v>90</v>
      </c>
      <c r="B91" s="2" t="s">
        <v>413</v>
      </c>
      <c r="C91" s="2" t="s">
        <v>414</v>
      </c>
      <c r="D91" s="2" t="s">
        <v>415</v>
      </c>
      <c r="E91" s="2" t="s">
        <v>17</v>
      </c>
      <c r="F91" s="2" t="s">
        <v>49</v>
      </c>
      <c r="G91" s="2" t="s">
        <v>456</v>
      </c>
      <c r="H91" s="3" t="s">
        <v>457</v>
      </c>
      <c r="I91" s="3" t="s">
        <v>458</v>
      </c>
      <c r="J91" s="3" t="s">
        <v>459</v>
      </c>
      <c r="K91" s="2" t="s">
        <v>591</v>
      </c>
      <c r="L91" s="2">
        <v>296</v>
      </c>
      <c r="M91" s="3" t="s">
        <v>460</v>
      </c>
      <c r="N91" s="3" t="s">
        <v>282</v>
      </c>
    </row>
    <row r="92" spans="1:14" ht="41.4" customHeight="1">
      <c r="A92" s="2">
        <v>91</v>
      </c>
      <c r="B92" s="2" t="s">
        <v>413</v>
      </c>
      <c r="C92" s="2" t="s">
        <v>414</v>
      </c>
      <c r="D92" s="2" t="s">
        <v>415</v>
      </c>
      <c r="E92" s="2" t="s">
        <v>17</v>
      </c>
      <c r="F92" s="2" t="s">
        <v>49</v>
      </c>
      <c r="G92" s="2" t="s">
        <v>158</v>
      </c>
      <c r="H92" s="3" t="s">
        <v>461</v>
      </c>
      <c r="I92" s="3" t="s">
        <v>462</v>
      </c>
      <c r="J92" s="3" t="s">
        <v>463</v>
      </c>
      <c r="K92" s="2" t="s">
        <v>591</v>
      </c>
      <c r="L92" s="2">
        <v>304</v>
      </c>
      <c r="M92" s="3" t="s">
        <v>464</v>
      </c>
      <c r="N92" s="3" t="s">
        <v>465</v>
      </c>
    </row>
    <row r="93" spans="1:14" ht="41.4" customHeight="1">
      <c r="A93" s="2">
        <v>92</v>
      </c>
      <c r="B93" s="2" t="s">
        <v>413</v>
      </c>
      <c r="C93" s="2" t="s">
        <v>414</v>
      </c>
      <c r="D93" s="2" t="s">
        <v>415</v>
      </c>
      <c r="E93" s="2" t="s">
        <v>17</v>
      </c>
      <c r="F93" s="2" t="s">
        <v>49</v>
      </c>
      <c r="G93" s="2" t="s">
        <v>78</v>
      </c>
      <c r="H93" s="3" t="s">
        <v>466</v>
      </c>
      <c r="I93" s="3" t="s">
        <v>467</v>
      </c>
      <c r="J93" s="3" t="s">
        <v>468</v>
      </c>
      <c r="K93" s="2" t="s">
        <v>591</v>
      </c>
      <c r="L93" s="2">
        <v>279</v>
      </c>
      <c r="M93" s="3" t="s">
        <v>469</v>
      </c>
      <c r="N93" s="3" t="s">
        <v>470</v>
      </c>
    </row>
    <row r="94" spans="1:14" ht="41.4" customHeight="1">
      <c r="A94" s="2">
        <v>93</v>
      </c>
      <c r="B94" s="2" t="s">
        <v>413</v>
      </c>
      <c r="C94" s="2" t="s">
        <v>414</v>
      </c>
      <c r="D94" s="2" t="s">
        <v>415</v>
      </c>
      <c r="E94" s="2" t="s">
        <v>17</v>
      </c>
      <c r="F94" s="2" t="s">
        <v>84</v>
      </c>
      <c r="G94" s="2" t="s">
        <v>198</v>
      </c>
      <c r="H94" s="3" t="s">
        <v>471</v>
      </c>
      <c r="I94" s="3" t="s">
        <v>472</v>
      </c>
      <c r="J94" s="3" t="s">
        <v>473</v>
      </c>
      <c r="K94" s="2" t="s">
        <v>591</v>
      </c>
      <c r="L94" s="2">
        <v>489</v>
      </c>
      <c r="M94" s="3" t="s">
        <v>474</v>
      </c>
      <c r="N94" s="3" t="s">
        <v>72</v>
      </c>
    </row>
    <row r="95" spans="1:14" ht="41.4" customHeight="1">
      <c r="A95" s="2">
        <v>94</v>
      </c>
      <c r="B95" s="2" t="s">
        <v>413</v>
      </c>
      <c r="C95" s="2" t="s">
        <v>414</v>
      </c>
      <c r="D95" s="2" t="s">
        <v>415</v>
      </c>
      <c r="E95" s="2" t="s">
        <v>17</v>
      </c>
      <c r="F95" s="2" t="s">
        <v>84</v>
      </c>
      <c r="G95" s="2" t="s">
        <v>475</v>
      </c>
      <c r="H95" s="3" t="s">
        <v>476</v>
      </c>
      <c r="I95" s="3" t="s">
        <v>477</v>
      </c>
      <c r="J95" s="3" t="s">
        <v>478</v>
      </c>
      <c r="K95" s="2" t="s">
        <v>591</v>
      </c>
      <c r="L95" s="2">
        <v>279</v>
      </c>
      <c r="M95" s="3" t="s">
        <v>479</v>
      </c>
      <c r="N95" s="3" t="s">
        <v>480</v>
      </c>
    </row>
    <row r="96" spans="1:14" ht="41.4" customHeight="1">
      <c r="A96" s="2">
        <v>95</v>
      </c>
      <c r="B96" s="2" t="s">
        <v>413</v>
      </c>
      <c r="C96" s="2" t="s">
        <v>414</v>
      </c>
      <c r="D96" s="2" t="s">
        <v>415</v>
      </c>
      <c r="E96" s="2" t="s">
        <v>17</v>
      </c>
      <c r="F96" s="2" t="s">
        <v>84</v>
      </c>
      <c r="G96" s="2" t="s">
        <v>481</v>
      </c>
      <c r="H96" s="3" t="s">
        <v>482</v>
      </c>
      <c r="I96" s="3" t="s">
        <v>483</v>
      </c>
      <c r="J96" s="3" t="s">
        <v>484</v>
      </c>
      <c r="K96" s="2" t="s">
        <v>591</v>
      </c>
      <c r="L96" s="2">
        <v>304</v>
      </c>
      <c r="M96" s="3" t="s">
        <v>485</v>
      </c>
      <c r="N96" s="3" t="s">
        <v>486</v>
      </c>
    </row>
    <row r="97" spans="1:14" ht="41.4" customHeight="1">
      <c r="A97" s="2">
        <v>96</v>
      </c>
      <c r="B97" s="2" t="s">
        <v>413</v>
      </c>
      <c r="C97" s="2" t="s">
        <v>414</v>
      </c>
      <c r="D97" s="2" t="s">
        <v>415</v>
      </c>
      <c r="E97" s="2" t="s">
        <v>17</v>
      </c>
      <c r="F97" s="2" t="s">
        <v>84</v>
      </c>
      <c r="G97" s="2" t="s">
        <v>175</v>
      </c>
      <c r="H97" s="3" t="s">
        <v>487</v>
      </c>
      <c r="I97" s="3" t="s">
        <v>488</v>
      </c>
      <c r="J97" s="3" t="s">
        <v>489</v>
      </c>
      <c r="K97" s="2" t="s">
        <v>591</v>
      </c>
      <c r="L97" s="2">
        <v>402</v>
      </c>
      <c r="M97" s="3" t="s">
        <v>490</v>
      </c>
      <c r="N97" s="3" t="s">
        <v>180</v>
      </c>
    </row>
    <row r="98" spans="1:14" ht="41.4" customHeight="1">
      <c r="A98" s="2">
        <v>97</v>
      </c>
      <c r="B98" s="2" t="s">
        <v>413</v>
      </c>
      <c r="C98" s="2" t="s">
        <v>414</v>
      </c>
      <c r="D98" s="2" t="s">
        <v>415</v>
      </c>
      <c r="E98" s="2" t="s">
        <v>108</v>
      </c>
      <c r="F98" s="2" t="s">
        <v>49</v>
      </c>
      <c r="G98" s="2" t="s">
        <v>108</v>
      </c>
      <c r="H98" s="3" t="s">
        <v>491</v>
      </c>
      <c r="I98" s="3" t="s">
        <v>492</v>
      </c>
      <c r="J98" s="3" t="s">
        <v>493</v>
      </c>
      <c r="K98" s="2"/>
      <c r="L98" s="2"/>
      <c r="M98" s="3"/>
      <c r="N98" s="3" t="s">
        <v>112</v>
      </c>
    </row>
    <row r="99" spans="1:14" ht="41.4" customHeight="1">
      <c r="A99" s="2">
        <v>98</v>
      </c>
      <c r="B99" s="2" t="s">
        <v>413</v>
      </c>
      <c r="C99" s="2" t="s">
        <v>414</v>
      </c>
      <c r="D99" s="2" t="s">
        <v>415</v>
      </c>
      <c r="E99" s="2" t="s">
        <v>108</v>
      </c>
      <c r="F99" s="2" t="s">
        <v>49</v>
      </c>
      <c r="G99" s="2" t="s">
        <v>108</v>
      </c>
      <c r="H99" s="3" t="s">
        <v>494</v>
      </c>
      <c r="I99" s="3" t="s">
        <v>495</v>
      </c>
      <c r="J99" s="3" t="s">
        <v>496</v>
      </c>
      <c r="K99" s="2"/>
      <c r="L99" s="2"/>
      <c r="M99" s="3"/>
      <c r="N99" s="3" t="s">
        <v>112</v>
      </c>
    </row>
    <row r="100" spans="1:14" ht="41.4" customHeight="1">
      <c r="A100" s="2">
        <v>99</v>
      </c>
      <c r="B100" s="2" t="s">
        <v>413</v>
      </c>
      <c r="C100" s="2" t="s">
        <v>414</v>
      </c>
      <c r="D100" s="2" t="s">
        <v>415</v>
      </c>
      <c r="E100" s="2" t="s">
        <v>108</v>
      </c>
      <c r="F100" s="2" t="s">
        <v>84</v>
      </c>
      <c r="G100" s="2" t="s">
        <v>108</v>
      </c>
      <c r="H100" s="3" t="s">
        <v>497</v>
      </c>
      <c r="I100" s="3" t="s">
        <v>498</v>
      </c>
      <c r="J100" s="3" t="s">
        <v>499</v>
      </c>
      <c r="K100" s="2"/>
      <c r="L100" s="2"/>
      <c r="M100" s="3"/>
      <c r="N100" s="3" t="s">
        <v>112</v>
      </c>
    </row>
    <row r="101" spans="1:14" ht="41.4" customHeight="1">
      <c r="A101" s="2">
        <v>100</v>
      </c>
      <c r="B101" s="2" t="s">
        <v>413</v>
      </c>
      <c r="C101" s="2" t="s">
        <v>414</v>
      </c>
      <c r="D101" s="2" t="s">
        <v>415</v>
      </c>
      <c r="E101" s="2" t="s">
        <v>108</v>
      </c>
      <c r="F101" s="2" t="s">
        <v>84</v>
      </c>
      <c r="G101" s="2" t="s">
        <v>108</v>
      </c>
      <c r="H101" s="3" t="s">
        <v>500</v>
      </c>
      <c r="I101" s="3" t="s">
        <v>501</v>
      </c>
      <c r="J101" s="3" t="s">
        <v>502</v>
      </c>
      <c r="K101" s="2"/>
      <c r="L101" s="2"/>
      <c r="M101" s="3"/>
      <c r="N101" s="3" t="s">
        <v>112</v>
      </c>
    </row>
  </sheetData>
  <phoneticPr fontId="8" type="noConversion"/>
  <conditionalFormatting sqref="E2:E101">
    <cfRule type="expression" dxfId="4" priority="1">
      <formula>E2="문서 외 질문"</formula>
    </cfRule>
    <cfRule type="expression" dxfId="3" priority="2">
      <formula>E2="문서 내 답변"</formula>
    </cfRule>
  </conditionalFormatting>
  <conditionalFormatting sqref="F2:F101">
    <cfRule type="expression" dxfId="2" priority="3">
      <formula>F2="쉬움"</formula>
    </cfRule>
    <cfRule type="expression" dxfId="1" priority="4">
      <formula>F2="보통"</formula>
    </cfRule>
    <cfRule type="expression" dxfId="0" priority="5">
      <formula>F2="어려움"</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sheetViews>
  <sheetFormatPr defaultRowHeight="14"/>
  <cols>
    <col min="1" max="1" width="15" customWidth="1"/>
    <col min="2" max="8" width="16" customWidth="1"/>
  </cols>
  <sheetData>
    <row r="1" spans="1:8">
      <c r="A1" s="10" t="s">
        <v>503</v>
      </c>
      <c r="B1" s="10"/>
      <c r="C1" s="10"/>
      <c r="D1" s="10"/>
      <c r="E1" s="10"/>
      <c r="F1" s="10"/>
      <c r="G1" s="10"/>
      <c r="H1" s="10"/>
    </row>
    <row r="2" spans="1:8">
      <c r="A2" s="10"/>
      <c r="B2" s="10"/>
      <c r="C2" s="10"/>
      <c r="D2" s="10"/>
      <c r="E2" s="10"/>
      <c r="F2" s="10"/>
      <c r="G2" s="10"/>
      <c r="H2" s="10"/>
    </row>
    <row r="3" spans="1:8">
      <c r="A3" s="4"/>
      <c r="B3" s="4"/>
      <c r="C3" s="4"/>
      <c r="D3" s="4"/>
      <c r="E3" s="4"/>
      <c r="F3" s="4"/>
      <c r="G3" s="4"/>
      <c r="H3" s="4"/>
    </row>
    <row r="4" spans="1:8">
      <c r="A4" s="1" t="s">
        <v>504</v>
      </c>
      <c r="B4" s="1" t="s">
        <v>505</v>
      </c>
      <c r="C4" s="4"/>
      <c r="D4" s="1" t="s">
        <v>1</v>
      </c>
      <c r="E4" s="1" t="s">
        <v>506</v>
      </c>
      <c r="F4" s="4"/>
      <c r="G4" s="4"/>
      <c r="H4" s="4"/>
    </row>
    <row r="5" spans="1:8">
      <c r="A5" s="4" t="s">
        <v>507</v>
      </c>
      <c r="B5" s="5">
        <f>COUNTA(질문_모범답안!A2:A101)</f>
        <v>100</v>
      </c>
      <c r="C5" s="4"/>
      <c r="D5" s="4" t="s">
        <v>14</v>
      </c>
      <c r="E5" s="5">
        <f>COUNTIF(질문_모범답안!B2:B101,D5)</f>
        <v>20</v>
      </c>
      <c r="F5" s="4"/>
      <c r="G5" s="4"/>
      <c r="H5" s="4"/>
    </row>
    <row r="6" spans="1:8">
      <c r="A6" s="4" t="s">
        <v>17</v>
      </c>
      <c r="B6" s="5">
        <f>COUNTIF(질문_모범답안!E2:E101,"문서 내 답변")</f>
        <v>80</v>
      </c>
      <c r="C6" s="4"/>
      <c r="D6" s="4" t="s">
        <v>122</v>
      </c>
      <c r="E6" s="5">
        <f>COUNTIF(질문_모범답안!B2:B101,D6)</f>
        <v>20</v>
      </c>
      <c r="F6" s="4"/>
      <c r="G6" s="4"/>
      <c r="H6" s="4"/>
    </row>
    <row r="7" spans="1:8">
      <c r="A7" s="4" t="s">
        <v>108</v>
      </c>
      <c r="B7" s="5">
        <f>COUNTIF(질문_모범답안!E2:E101,"문서 외 질문")</f>
        <v>20</v>
      </c>
      <c r="C7" s="4"/>
      <c r="D7" s="4" t="s">
        <v>226</v>
      </c>
      <c r="E7" s="5">
        <f>COUNTIF(질문_모범답안!B2:B101,D7)</f>
        <v>20</v>
      </c>
      <c r="F7" s="4"/>
      <c r="G7" s="4"/>
      <c r="H7" s="4"/>
    </row>
    <row r="8" spans="1:8">
      <c r="A8" s="4" t="s">
        <v>18</v>
      </c>
      <c r="B8" s="5">
        <f>COUNTIF(질문_모범답안!F2:F101,"쉬움")</f>
        <v>30</v>
      </c>
      <c r="C8" s="4"/>
      <c r="D8" s="4" t="s">
        <v>321</v>
      </c>
      <c r="E8" s="5">
        <f>COUNTIF(질문_모범답안!B2:B101,D8)</f>
        <v>20</v>
      </c>
      <c r="F8" s="4"/>
      <c r="G8" s="4"/>
      <c r="H8" s="4"/>
    </row>
    <row r="9" spans="1:8">
      <c r="A9" s="4" t="s">
        <v>49</v>
      </c>
      <c r="B9" s="5">
        <f>COUNTIF(질문_모범답안!F2:F101,"보통")</f>
        <v>40</v>
      </c>
      <c r="C9" s="4"/>
      <c r="D9" s="4" t="s">
        <v>413</v>
      </c>
      <c r="E9" s="5">
        <f>COUNTIF(질문_모범답안!B2:B101,D9)</f>
        <v>20</v>
      </c>
      <c r="F9" s="4"/>
      <c r="G9" s="4"/>
      <c r="H9" s="4"/>
    </row>
    <row r="10" spans="1:8">
      <c r="A10" s="4" t="s">
        <v>84</v>
      </c>
      <c r="B10" s="5">
        <f>COUNTIF(질문_모범답안!F2:F101,"어려움")</f>
        <v>30</v>
      </c>
      <c r="C10" s="4"/>
      <c r="D10" s="4"/>
      <c r="E10" s="4"/>
      <c r="F10" s="4"/>
      <c r="G10" s="4"/>
      <c r="H10" s="4"/>
    </row>
    <row r="11" spans="1:8">
      <c r="A11" s="4"/>
      <c r="B11" s="4"/>
      <c r="C11" s="4"/>
      <c r="D11" s="4"/>
      <c r="E11" s="4"/>
      <c r="F11" s="4"/>
      <c r="G11" s="4"/>
      <c r="H11" s="4"/>
    </row>
    <row r="12" spans="1:8" ht="15.5">
      <c r="A12" s="11" t="s">
        <v>508</v>
      </c>
      <c r="B12" s="11"/>
      <c r="C12" s="11"/>
      <c r="D12" s="11"/>
      <c r="E12" s="11"/>
      <c r="F12" s="11"/>
      <c r="G12" s="11"/>
      <c r="H12" s="11"/>
    </row>
    <row r="13" spans="1:8" ht="32" customHeight="1">
      <c r="A13" s="7" t="s">
        <v>509</v>
      </c>
      <c r="B13" s="13" t="s">
        <v>510</v>
      </c>
      <c r="C13" s="13"/>
      <c r="D13" s="13"/>
      <c r="E13" s="13"/>
      <c r="F13" s="13"/>
      <c r="G13" s="13"/>
      <c r="H13" s="13"/>
    </row>
    <row r="14" spans="1:8" ht="32" customHeight="1">
      <c r="A14" s="7" t="s">
        <v>511</v>
      </c>
      <c r="B14" s="13" t="s">
        <v>512</v>
      </c>
      <c r="C14" s="13"/>
      <c r="D14" s="13"/>
      <c r="E14" s="13"/>
      <c r="F14" s="13"/>
      <c r="G14" s="13"/>
      <c r="H14" s="13"/>
    </row>
    <row r="15" spans="1:8" ht="32" customHeight="1">
      <c r="A15" s="7" t="s">
        <v>513</v>
      </c>
      <c r="B15" s="13" t="s">
        <v>514</v>
      </c>
      <c r="C15" s="13"/>
      <c r="D15" s="13"/>
      <c r="E15" s="13"/>
      <c r="F15" s="13"/>
      <c r="G15" s="13"/>
      <c r="H15" s="13"/>
    </row>
    <row r="16" spans="1:8" ht="32" customHeight="1">
      <c r="A16" s="7" t="s">
        <v>5</v>
      </c>
      <c r="B16" s="13" t="s">
        <v>515</v>
      </c>
      <c r="C16" s="13"/>
      <c r="D16" s="13"/>
      <c r="E16" s="13"/>
      <c r="F16" s="13"/>
      <c r="G16" s="13"/>
      <c r="H16" s="13"/>
    </row>
    <row r="17" spans="1:8" ht="32" customHeight="1">
      <c r="A17" s="7" t="s">
        <v>516</v>
      </c>
      <c r="B17" s="13" t="s">
        <v>517</v>
      </c>
      <c r="C17" s="13"/>
      <c r="D17" s="13"/>
      <c r="E17" s="13"/>
      <c r="F17" s="13"/>
      <c r="G17" s="13"/>
      <c r="H17" s="13"/>
    </row>
    <row r="18" spans="1:8" ht="32" customHeight="1">
      <c r="A18" s="7" t="s">
        <v>518</v>
      </c>
      <c r="B18" s="13" t="s">
        <v>519</v>
      </c>
      <c r="C18" s="13"/>
      <c r="D18" s="13"/>
      <c r="E18" s="13"/>
      <c r="F18" s="13"/>
      <c r="G18" s="13"/>
      <c r="H18" s="13"/>
    </row>
    <row r="19" spans="1:8" ht="32" customHeight="1">
      <c r="A19" s="7" t="s">
        <v>520</v>
      </c>
      <c r="B19" s="13" t="s">
        <v>521</v>
      </c>
      <c r="C19" s="13"/>
      <c r="D19" s="13"/>
      <c r="E19" s="13"/>
      <c r="F19" s="13"/>
      <c r="G19" s="13"/>
      <c r="H19" s="13"/>
    </row>
    <row r="20" spans="1:8">
      <c r="A20" s="4"/>
      <c r="B20" s="4"/>
      <c r="C20" s="4"/>
      <c r="D20" s="4"/>
      <c r="E20" s="4"/>
      <c r="F20" s="4"/>
      <c r="G20" s="4"/>
      <c r="H20" s="4"/>
    </row>
    <row r="21" spans="1:8">
      <c r="A21" s="12" t="s">
        <v>522</v>
      </c>
      <c r="B21" s="12"/>
      <c r="C21" s="12"/>
      <c r="D21" s="12"/>
      <c r="E21" s="12"/>
      <c r="F21" s="12"/>
      <c r="G21" s="12"/>
      <c r="H21" s="12"/>
    </row>
    <row r="22" spans="1:8" ht="29.4" customHeight="1">
      <c r="A22" s="8" t="s">
        <v>523</v>
      </c>
      <c r="B22" s="13" t="s">
        <v>524</v>
      </c>
      <c r="C22" s="13"/>
      <c r="D22" s="13"/>
      <c r="E22" s="13"/>
      <c r="F22" s="13"/>
      <c r="G22" s="13"/>
      <c r="H22" s="13"/>
    </row>
    <row r="23" spans="1:8" ht="29.4" customHeight="1">
      <c r="A23" s="8" t="s">
        <v>525</v>
      </c>
      <c r="B23" s="13" t="s">
        <v>526</v>
      </c>
      <c r="C23" s="13"/>
      <c r="D23" s="13"/>
      <c r="E23" s="13"/>
      <c r="F23" s="13"/>
      <c r="G23" s="13"/>
      <c r="H23" s="13"/>
    </row>
    <row r="24" spans="1:8" ht="29.4" customHeight="1">
      <c r="A24" s="8" t="s">
        <v>527</v>
      </c>
      <c r="B24" s="13" t="s">
        <v>528</v>
      </c>
      <c r="C24" s="13"/>
      <c r="D24" s="13"/>
      <c r="E24" s="13"/>
      <c r="F24" s="13"/>
      <c r="G24" s="13"/>
      <c r="H24" s="13"/>
    </row>
    <row r="25" spans="1:8" ht="29.4" customHeight="1">
      <c r="A25" s="8" t="s">
        <v>529</v>
      </c>
      <c r="B25" s="13" t="s">
        <v>530</v>
      </c>
      <c r="C25" s="13"/>
      <c r="D25" s="13"/>
      <c r="E25" s="13"/>
      <c r="F25" s="13"/>
      <c r="G25" s="13"/>
      <c r="H25" s="13"/>
    </row>
  </sheetData>
  <mergeCells count="14">
    <mergeCell ref="B22:H22"/>
    <mergeCell ref="B23:H23"/>
    <mergeCell ref="B24:H24"/>
    <mergeCell ref="B25:H25"/>
    <mergeCell ref="A1:H2"/>
    <mergeCell ref="A12:H12"/>
    <mergeCell ref="A21:H21"/>
    <mergeCell ref="B13:H13"/>
    <mergeCell ref="B14:H14"/>
    <mergeCell ref="B15:H15"/>
    <mergeCell ref="B16:H16"/>
    <mergeCell ref="B17:H17"/>
    <mergeCell ref="B18:H18"/>
    <mergeCell ref="B19:H19"/>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heetViews>
  <sheetFormatPr defaultRowHeight="14"/>
  <cols>
    <col min="1" max="4" width="24" customWidth="1"/>
    <col min="5" max="5" width="34" customWidth="1"/>
  </cols>
  <sheetData>
    <row r="1" spans="1:5">
      <c r="A1" s="14" t="s">
        <v>531</v>
      </c>
      <c r="B1" s="14"/>
      <c r="C1" s="14"/>
      <c r="D1" s="14"/>
      <c r="E1" s="14"/>
    </row>
    <row r="2" spans="1:5">
      <c r="A2" s="14"/>
      <c r="B2" s="14"/>
      <c r="C2" s="14"/>
      <c r="D2" s="14"/>
      <c r="E2" s="14"/>
    </row>
    <row r="4" spans="1:5">
      <c r="A4" s="1" t="s">
        <v>532</v>
      </c>
      <c r="B4" s="1" t="s">
        <v>533</v>
      </c>
      <c r="C4" s="1" t="s">
        <v>534</v>
      </c>
      <c r="D4" s="1" t="s">
        <v>535</v>
      </c>
      <c r="E4" s="1" t="s">
        <v>536</v>
      </c>
    </row>
    <row r="5" spans="1:5" ht="36.65" customHeight="1">
      <c r="A5" s="9" t="s">
        <v>537</v>
      </c>
      <c r="B5" s="6" t="s">
        <v>538</v>
      </c>
      <c r="C5" s="6" t="s">
        <v>539</v>
      </c>
      <c r="D5" s="6" t="s">
        <v>540</v>
      </c>
      <c r="E5" s="6" t="s">
        <v>541</v>
      </c>
    </row>
    <row r="6" spans="1:5" ht="36.65" customHeight="1">
      <c r="A6" s="9" t="s">
        <v>542</v>
      </c>
      <c r="B6" s="6" t="s">
        <v>543</v>
      </c>
      <c r="C6" s="6" t="s">
        <v>544</v>
      </c>
      <c r="D6" s="6" t="s">
        <v>545</v>
      </c>
      <c r="E6" s="6" t="s">
        <v>546</v>
      </c>
    </row>
    <row r="7" spans="1:5" ht="36.65" customHeight="1">
      <c r="A7" s="9" t="s">
        <v>547</v>
      </c>
      <c r="B7" s="6" t="s">
        <v>548</v>
      </c>
      <c r="C7" s="6" t="s">
        <v>549</v>
      </c>
      <c r="D7" s="6" t="s">
        <v>550</v>
      </c>
      <c r="E7" s="6" t="s">
        <v>551</v>
      </c>
    </row>
    <row r="8" spans="1:5" ht="36.65" customHeight="1">
      <c r="A8" s="9" t="s">
        <v>112</v>
      </c>
      <c r="B8" s="6" t="s">
        <v>552</v>
      </c>
      <c r="C8" s="6" t="s">
        <v>553</v>
      </c>
      <c r="D8" s="6" t="s">
        <v>554</v>
      </c>
      <c r="E8" s="6" t="s">
        <v>555</v>
      </c>
    </row>
    <row r="10" spans="1:5">
      <c r="A10" s="15" t="s">
        <v>556</v>
      </c>
      <c r="B10" s="15"/>
      <c r="C10" s="15"/>
      <c r="D10" s="15"/>
      <c r="E10" s="15"/>
    </row>
    <row r="12" spans="1:5">
      <c r="A12" s="1" t="s">
        <v>557</v>
      </c>
      <c r="B12" s="1" t="s">
        <v>537</v>
      </c>
      <c r="C12" s="1" t="s">
        <v>542</v>
      </c>
      <c r="D12" s="1" t="s">
        <v>547</v>
      </c>
      <c r="E12" s="1" t="s">
        <v>112</v>
      </c>
    </row>
    <row r="13" spans="1:5" ht="32" customHeight="1">
      <c r="A13" s="6" t="s">
        <v>558</v>
      </c>
      <c r="B13" s="6" t="s">
        <v>559</v>
      </c>
      <c r="C13" s="6" t="s">
        <v>560</v>
      </c>
      <c r="D13" s="6" t="s">
        <v>561</v>
      </c>
      <c r="E13" s="6" t="s">
        <v>562</v>
      </c>
    </row>
    <row r="14" spans="1:5" ht="32" customHeight="1">
      <c r="A14" s="6" t="s">
        <v>563</v>
      </c>
      <c r="B14" s="6" t="s">
        <v>564</v>
      </c>
      <c r="C14" s="6" t="s">
        <v>565</v>
      </c>
      <c r="D14" s="6" t="s">
        <v>566</v>
      </c>
      <c r="E14" s="6" t="s">
        <v>567</v>
      </c>
    </row>
    <row r="15" spans="1:5" ht="32" customHeight="1">
      <c r="A15" s="6" t="s">
        <v>568</v>
      </c>
      <c r="B15" s="6" t="s">
        <v>569</v>
      </c>
      <c r="C15" s="6" t="s">
        <v>570</v>
      </c>
      <c r="D15" s="6" t="s">
        <v>571</v>
      </c>
      <c r="E15" s="6" t="s">
        <v>572</v>
      </c>
    </row>
    <row r="16" spans="1:5" ht="32" customHeight="1">
      <c r="A16" s="6" t="s">
        <v>108</v>
      </c>
      <c r="B16" s="6" t="s">
        <v>573</v>
      </c>
      <c r="C16" s="6" t="s">
        <v>574</v>
      </c>
      <c r="D16" s="6" t="s">
        <v>575</v>
      </c>
      <c r="E16" s="6" t="s">
        <v>576</v>
      </c>
    </row>
    <row r="17" spans="1:5" ht="32" customHeight="1">
      <c r="A17" s="6" t="s">
        <v>577</v>
      </c>
      <c r="B17" s="6" t="s">
        <v>578</v>
      </c>
      <c r="C17" s="6" t="s">
        <v>579</v>
      </c>
      <c r="D17" s="6" t="s">
        <v>580</v>
      </c>
      <c r="E17" s="6" t="s">
        <v>581</v>
      </c>
    </row>
  </sheetData>
  <mergeCells count="2">
    <mergeCell ref="A1:E2"/>
    <mergeCell ref="A10:E10"/>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질문_모범답안</vt:lpstr>
      <vt:lpstr>데이터셋_요약</vt:lpstr>
      <vt:lpstr>평가_기준</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KDT27</cp:lastModifiedBy>
  <dcterms:modified xsi:type="dcterms:W3CDTF">2026-07-27T23:56:14Z</dcterms:modified>
</cp:coreProperties>
</file>